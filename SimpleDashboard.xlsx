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NTI PROJECTS\excel\taks\"/>
    </mc:Choice>
  </mc:AlternateContent>
  <xr:revisionPtr revIDLastSave="0" documentId="13_ncr:2001_{A91A9247-9119-42C5-AE76-013B3E30F810}" xr6:coauthVersionLast="47" xr6:coauthVersionMax="47" xr10:uidLastSave="{00000000-0000-0000-0000-000000000000}"/>
  <bookViews>
    <workbookView xWindow="-108" yWindow="-108" windowWidth="23256" windowHeight="12456" activeTab="1" xr2:uid="{00000000-000D-0000-FFFF-FFFF00000000}"/>
  </bookViews>
  <sheets>
    <sheet name="Engine" sheetId="1" r:id="rId1"/>
    <sheet name="DashBoard" sheetId="2" r:id="rId2"/>
  </sheets>
  <definedNames>
    <definedName name="Slicer_OrderDate__Year">#N/A</definedName>
  </definedNames>
  <calcPr calcId="191029"/>
  <pivotCaches>
    <pivotCache cacheId="141" r:id="rId3"/>
    <pivotCache cacheId="409" r:id="rId4"/>
    <pivotCache cacheId="454" r:id="rId5"/>
    <pivotCache cacheId="457" r:id="rId6"/>
    <pivotCache cacheId="460" r:id="rId7"/>
    <pivotCache cacheId="463" r:id="rId8"/>
    <pivotCache cacheId="466" r:id="rId9"/>
    <pivotCache cacheId="469" r:id="rId10"/>
    <pivotCache cacheId="472" r:id="rId11"/>
  </pivotCaches>
  <fileRecoveryPr repairLoad="1"/>
  <extLst>
    <ext xmlns:x14="http://schemas.microsoft.com/office/spreadsheetml/2009/9/main" uri="{876F7934-8845-4945-9796-88D515C7AA90}">
      <x14:pivotCaches>
        <pivotCache cacheId="151"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Orders_858c431b-ccca-4ebf-a1ff-dfa3abed300e" name="SalesOrders" connection="Query - SalesOrders"/>
        </x15:modelTables>
        <x15:extLst>
          <ext xmlns:x16="http://schemas.microsoft.com/office/spreadsheetml/2014/11/main" uri="{9835A34E-60A6-4A7C-AAB8-D5F71C897F49}">
            <x16:modelTimeGroupings>
              <x16:modelTimeGrouping tableName="Sales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 l="1"/>
  <c r="D85" i="1"/>
  <c r="O6" i="1"/>
  <c r="M6" i="1"/>
  <c r="K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4A8014-3666-4C94-9BE6-E23EE525E88A}" name="Query - SalesOrders" description="Connection to the 'SalesOrders' query in the workbook." type="100" refreshedVersion="8" minRefreshableVersion="5">
    <extLst>
      <ext xmlns:x15="http://schemas.microsoft.com/office/spreadsheetml/2010/11/main" uri="{DE250136-89BD-433C-8126-D09CA5730AF9}">
        <x15:connection id="6f69d64e-9905-4020-a2cf-525a01e3d984"/>
      </ext>
    </extLst>
  </connection>
  <connection id="2" xr16:uid="{C3C87B2F-14C1-46B3-8602-43643C97FB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<sst xmlns="http://schemas.openxmlformats.org/spreadsheetml/2006/main" count="66" uniqueCount="48">
  <si>
    <t>Central</t>
  </si>
  <si>
    <t>East</t>
  </si>
  <si>
    <t>West</t>
  </si>
  <si>
    <t>Grand Total</t>
  </si>
  <si>
    <t>Revenue</t>
  </si>
  <si>
    <t>Region</t>
  </si>
  <si>
    <t>CHARTS</t>
  </si>
  <si>
    <t>CARDS</t>
  </si>
  <si>
    <t>Total Revenue</t>
  </si>
  <si>
    <t>Total Units Sold</t>
  </si>
  <si>
    <t>Average Order Value</t>
  </si>
  <si>
    <t>Andrews</t>
  </si>
  <si>
    <t>Gill</t>
  </si>
  <si>
    <t>Howard</t>
  </si>
  <si>
    <t>Jardine</t>
  </si>
  <si>
    <t>Jones</t>
  </si>
  <si>
    <t>Kivell</t>
  </si>
  <si>
    <t>Morgan</t>
  </si>
  <si>
    <t>Parent</t>
  </si>
  <si>
    <t>Smith</t>
  </si>
  <si>
    <t>Sorvino</t>
  </si>
  <si>
    <t>Thompson</t>
  </si>
  <si>
    <t>Representative</t>
  </si>
  <si>
    <t>Binder</t>
  </si>
  <si>
    <t>Desk</t>
  </si>
  <si>
    <t>Pen</t>
  </si>
  <si>
    <t>Pen Set</t>
  </si>
  <si>
    <t>Pencil</t>
  </si>
  <si>
    <t xml:space="preserve">Units Sold </t>
  </si>
  <si>
    <t>items</t>
  </si>
  <si>
    <t>Jan</t>
  </si>
  <si>
    <t>Feb</t>
  </si>
  <si>
    <t>Mar</t>
  </si>
  <si>
    <t>Apr</t>
  </si>
  <si>
    <t>May</t>
  </si>
  <si>
    <t>Jun</t>
  </si>
  <si>
    <t>Jul</t>
  </si>
  <si>
    <t>Aug</t>
  </si>
  <si>
    <t>Sep</t>
  </si>
  <si>
    <t>Oct</t>
  </si>
  <si>
    <t>Nov</t>
  </si>
  <si>
    <t>Dec</t>
  </si>
  <si>
    <t>Sum of Total</t>
  </si>
  <si>
    <t>Sales</t>
  </si>
  <si>
    <t>Month</t>
  </si>
  <si>
    <t>Average of Unit Cost</t>
  </si>
  <si>
    <t>item</t>
  </si>
  <si>
    <t xml:space="preserve">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</si>
</sst>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sz val="11"/>
      <color theme="0"/>
      <name val="Calibri"/>
      <family val="2"/>
      <scheme val="minor"/>
    </font>
    <font>
      <b/>
      <sz val="18"/>
      <color theme="0"/>
      <name val="Abadi"/>
      <family val="2"/>
    </font>
    <font>
      <sz val="11"/>
      <color theme="1"/>
      <name val="Agency FB"/>
      <family val="2"/>
    </font>
    <font>
      <b/>
      <sz val="11"/>
      <color theme="1"/>
      <name val="Abadi"/>
      <family val="2"/>
    </font>
  </fonts>
  <fills count="5">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s>
  <borders count="2">
    <border>
      <left/>
      <right/>
      <top/>
      <bottom/>
      <diagonal/>
    </border>
    <border>
      <left/>
      <right style="thick">
        <color indexed="64"/>
      </right>
      <top/>
      <bottom/>
      <diagonal/>
    </border>
  </borders>
  <cellStyleXfs count="1">
    <xf numFmtId="0" fontId="0" fillId="0" borderId="0"/>
  </cellStyleXfs>
  <cellXfs count="17">
    <xf numFmtId="0" fontId="0" fillId="0" borderId="0" xfId="0"/>
    <xf numFmtId="0" fontId="0" fillId="0" borderId="1" xfId="0" applyBorder="1"/>
    <xf numFmtId="0" fontId="2"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xf>
    <xf numFmtId="0" fontId="4" fillId="0" borderId="0" xfId="0" applyFont="1"/>
    <xf numFmtId="2" fontId="1" fillId="0" borderId="0" xfId="0" applyNumberFormat="1" applyFont="1" applyAlignment="1">
      <alignment horizontal="center" vertical="center"/>
    </xf>
    <xf numFmtId="0" fontId="0" fillId="3" borderId="0" xfId="0" applyFill="1"/>
    <xf numFmtId="0" fontId="3" fillId="2" borderId="0" xfId="0" applyFont="1" applyFill="1" applyAlignment="1">
      <alignment horizontal="center" vertical="center"/>
    </xf>
    <xf numFmtId="0" fontId="0" fillId="0" borderId="0" xfId="0" applyNumberFormat="1"/>
    <xf numFmtId="0" fontId="2" fillId="2" borderId="0" xfId="0" applyNumberFormat="1" applyFont="1" applyFill="1" applyAlignment="1">
      <alignment horizontal="center" vertical="center"/>
    </xf>
    <xf numFmtId="0" fontId="0" fillId="0" borderId="0" xfId="0" applyAlignment="1">
      <alignment horizontal="left"/>
    </xf>
    <xf numFmtId="0" fontId="5" fillId="0" borderId="0" xfId="0" applyFont="1" applyAlignment="1">
      <alignment horizontal="left"/>
    </xf>
    <xf numFmtId="0" fontId="5" fillId="0" borderId="0" xfId="0" applyNumberFormat="1" applyFont="1"/>
    <xf numFmtId="0" fontId="1" fillId="0" borderId="0" xfId="0" applyNumberFormat="1" applyFont="1"/>
    <xf numFmtId="0" fontId="1" fillId="0" borderId="0" xfId="0" applyNumberFormat="1" applyFont="1" applyAlignment="1">
      <alignment horizontal="center" vertical="center"/>
    </xf>
    <xf numFmtId="0" fontId="0" fillId="4" borderId="0" xfId="0" applyFill="1"/>
  </cellXfs>
  <cellStyles count="1">
    <cellStyle name="Normal" xfId="0" builtinId="0"/>
  </cellStyles>
  <dxfs count="1334">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0" formatCode="Genera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u val="none"/>
      </font>
      <fill>
        <patternFill>
          <bgColor theme="0"/>
        </patternFill>
      </fill>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numFmt numFmtId="2" formatCode="0.00"/>
    </dxf>
    <dxf>
      <numFmt numFmtId="0" formatCode="General"/>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name val="Abadi"/>
        <scheme val="none"/>
      </font>
    </dxf>
    <dxf>
      <font>
        <name val="Abadi"/>
        <scheme val="none"/>
      </font>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fill>
        <patternFill patternType="solid">
          <bgColor theme="0" tint="-0.499984740745262"/>
        </patternFill>
      </fill>
    </dxf>
    <dxf>
      <font>
        <color theme="0"/>
      </font>
    </dxf>
    <dxf>
      <font>
        <b/>
      </font>
    </dxf>
    <dxf>
      <alignment horizontal="left" relativeIndent="1"/>
    </dxf>
    <dxf>
      <alignment relativeIndent="1"/>
    </dxf>
    <dxf>
      <alignment relativeIndent="1"/>
    </dxf>
    <dxf>
      <alignment relativeIndent="1"/>
    </dxf>
    <dxf>
      <alignment horizontal="general" indent="0"/>
    </dxf>
    <dxf>
      <alignment horizont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b/>
      </font>
    </dxf>
    <dxf>
      <font>
        <b/>
      </font>
    </dxf>
    <dxf>
      <font>
        <name val="Abadi"/>
        <scheme val="none"/>
      </font>
    </dxf>
    <dxf>
      <font>
        <name val="Abadi"/>
        <scheme val="none"/>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numFmt numFmtId="2" formatCode="0.00"/>
    </dxf>
    <dxf>
      <alignment horizontal="center"/>
    </dxf>
    <dxf>
      <alignment horizontal="general" indent="0"/>
    </dxf>
    <dxf>
      <alignment relativeIndent="1"/>
    </dxf>
    <dxf>
      <alignment relativeIndent="1"/>
    </dxf>
    <dxf>
      <alignment relativeIndent="1"/>
    </dxf>
    <dxf>
      <alignment horizontal="left" relativeIndent="1"/>
    </dxf>
    <dxf>
      <font>
        <b/>
      </font>
    </dxf>
    <dxf>
      <font>
        <color theme="0"/>
      </font>
    </dxf>
    <dxf>
      <fill>
        <patternFill patternType="solid">
          <bgColor theme="0" tint="-0.499984740745262"/>
        </patternFill>
      </fill>
    </dxf>
    <dxf>
      <alignment vertical="center"/>
    </dxf>
    <dxf>
      <alignment vertical="center"/>
    </dxf>
    <dxf>
      <alignment vertical="center"/>
    </dxf>
    <dxf>
      <alignment horizontal="center"/>
    </dxf>
    <dxf>
      <alignment horizontal="center"/>
    </dxf>
    <dxf>
      <alignment horizontal="center"/>
    </dxf>
    <dxf>
      <font>
        <b/>
      </font>
    </dxf>
    <dxf>
      <font>
        <color theme="0"/>
      </font>
    </dxf>
    <dxf>
      <fill>
        <patternFill patternType="solid">
          <bgColor theme="0" tint="-0.499984740745262"/>
        </patternFill>
      </fill>
    </dxf>
    <dxf>
      <alignment vertical="center"/>
    </dxf>
    <dxf>
      <alignment vertical="center"/>
    </dxf>
    <dxf>
      <alignment vertical="center"/>
    </dxf>
    <dxf>
      <alignment horizontal="center"/>
    </dxf>
    <dxf>
      <alignment horizontal="center"/>
    </dxf>
    <dxf>
      <alignment horizontal="center"/>
    </dxf>
    <dxf>
      <font>
        <b/>
      </font>
    </dxf>
    <dxf>
      <font>
        <color theme="0"/>
      </font>
    </dxf>
    <dxf>
      <fill>
        <patternFill patternType="solid">
          <bgColor theme="0" tint="-0.499984740745262"/>
        </patternFill>
      </fill>
    </dxf>
    <dxf>
      <alignment vertical="center"/>
    </dxf>
    <dxf>
      <alignment vertical="center"/>
    </dxf>
    <dxf>
      <alignment vertical="center"/>
    </dxf>
    <dxf>
      <alignment horizontal="center"/>
    </dxf>
    <dxf>
      <alignment horizontal="center"/>
    </dxf>
    <dxf>
      <alignment horizontal="center"/>
    </dxf>
    <dxf>
      <font>
        <b/>
      </font>
    </dxf>
    <dxf>
      <font>
        <b/>
      </font>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
      <font>
        <color theme="0"/>
      </font>
      <fill>
        <patternFill patternType="solid">
          <fgColor indexed="64"/>
          <bgColor theme="0" tint="-0.499984740745262"/>
        </patternFill>
      </fill>
      <alignment horizontal="center" vertical="center"/>
    </dxf>
  </dxfs>
  <tableStyles count="1" defaultTableStyle="TableStyleMedium2" defaultPivotStyle="PivotStyleLight16">
    <tableStyle name="Slicer Style 1" pivot="0" table="0" count="1" xr9:uid="{AFF040B3-6B5D-4AD9-BDDF-B39E2A90ED0F}">
      <tableStyleElement type="headerRow" dxfId="1022"/>
    </tableStyle>
  </tableStyles>
  <colors>
    <mruColors>
      <color rgb="FFDDDDDD"/>
      <color rgb="FF14314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10" Type="http://schemas.openxmlformats.org/officeDocument/2006/relationships/pivotCacheDefinition" Target="pivotCache/pivotCacheDefinition8.xml"/><Relationship Id="rId19"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[1.xlsx]Engine!ergon vs sales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Engine!$B$4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64-4F52-B6A5-3935F3CB3F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4-4F52-B6A5-3935F3CB3F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64-4F52-B6A5-3935F3CB3FC4}"/>
              </c:ext>
            </c:extLst>
          </c:dPt>
          <c:cat>
            <c:strRef>
              <c:f>Engine!$A$5:$A$8</c:f>
              <c:strCache>
                <c:ptCount val="3"/>
                <c:pt idx="0">
                  <c:v>Central</c:v>
                </c:pt>
                <c:pt idx="1">
                  <c:v>East</c:v>
                </c:pt>
                <c:pt idx="2">
                  <c:v>West</c:v>
                </c:pt>
              </c:strCache>
            </c:strRef>
          </c:cat>
          <c:val>
            <c:numRef>
              <c:f>Engine!$B$5:$B$8</c:f>
              <c:numCache>
                <c:formatCode>General</c:formatCode>
                <c:ptCount val="3"/>
                <c:pt idx="0">
                  <c:v>11139.069999999998</c:v>
                </c:pt>
                <c:pt idx="1">
                  <c:v>6002.09</c:v>
                </c:pt>
                <c:pt idx="2">
                  <c:v>2486.7199999999998</c:v>
                </c:pt>
              </c:numCache>
            </c:numRef>
          </c:val>
          <c:extLst>
            <c:ext xmlns:c16="http://schemas.microsoft.com/office/drawing/2014/chart" uri="{C3380CC4-5D6E-409C-BE32-E72D297353CC}">
              <c16:uniqueId val="{00000000-4087-41BD-B6DB-56334904F9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[1.xlsx]Engine!rep vs sales</c:name>
    <c:fmtId val="14"/>
  </c:pivotSource>
  <c:chart>
    <c:title>
      <c:tx>
        <c:rich>
          <a:bodyPr rot="0" spcFirstLastPara="1" vertOverflow="ellipsis" vert="horz" wrap="square" anchor="ctr" anchorCtr="1"/>
          <a:lstStyle/>
          <a:p>
            <a:pPr algn="ctr">
              <a:defRPr lang="en-US" sz="1400" b="1" i="0" u="none" strike="noStrike" kern="1200" spc="0" baseline="0">
                <a:solidFill>
                  <a:schemeClr val="tx1"/>
                </a:solidFill>
                <a:latin typeface="Abadi" panose="020B0604020104020204" pitchFamily="34" charset="0"/>
                <a:ea typeface="+mn-ea"/>
                <a:cs typeface="+mn-cs"/>
              </a:defRPr>
            </a:pPr>
            <a:r>
              <a:rPr lang="en-US" sz="1400" b="1" i="0" u="none" strike="noStrike" kern="1200" baseline="0">
                <a:solidFill>
                  <a:schemeClr val="tx1"/>
                </a:solidFill>
                <a:latin typeface="Abadi" panose="020B0604020104020204" pitchFamily="34" charset="0"/>
                <a:ea typeface="+mn-ea"/>
                <a:cs typeface="+mn-cs"/>
              </a:rPr>
              <a:t>Sales by Representative</a:t>
            </a:r>
          </a:p>
        </c:rich>
      </c:tx>
      <c:overlay val="0"/>
      <c:spPr>
        <a:noFill/>
        <a:ln>
          <a:noFill/>
        </a:ln>
        <a:effectLst/>
      </c:spPr>
      <c:txPr>
        <a:bodyPr rot="0" spcFirstLastPara="1" vertOverflow="ellipsis" vert="horz" wrap="square" anchor="ctr" anchorCtr="1"/>
        <a:lstStyle/>
        <a:p>
          <a:pPr algn="ctr">
            <a:defRPr lang="en-US" sz="1400" b="1" i="0" u="none" strike="noStrike" kern="1200" spc="0" baseline="0">
              <a:solidFill>
                <a:schemeClr val="tx1"/>
              </a:solidFill>
              <a:latin typeface="Abadi" panose="020B0604020104020204" pitchFamily="34" charset="0"/>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dLbl>
          <c:idx val="0"/>
          <c:layout>
            <c:manualLayout>
              <c:x val="2.7777777777777752E-2"/>
              <c:y val="9.25925925925923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pivotFmt>
    </c:pivotFmts>
    <c:plotArea>
      <c:layout/>
      <c:barChart>
        <c:barDir val="col"/>
        <c:grouping val="clustered"/>
        <c:varyColors val="0"/>
        <c:ser>
          <c:idx val="0"/>
          <c:order val="0"/>
          <c:tx>
            <c:strRef>
              <c:f>Engine!$B$16</c:f>
              <c:strCache>
                <c:ptCount val="1"/>
                <c:pt idx="0">
                  <c:v>Total</c:v>
                </c:pt>
              </c:strCache>
            </c:strRef>
          </c:tx>
          <c:spPr>
            <a:solidFill>
              <a:schemeClr val="bg1">
                <a:lumMod val="5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C-DD6A-4CB2-90CA-39D9C18263C0}"/>
              </c:ext>
            </c:extLst>
          </c:dPt>
          <c:dLbls>
            <c:dLbl>
              <c:idx val="1"/>
              <c:layout>
                <c:manualLayout>
                  <c:x val="2.7777777777777752E-2"/>
                  <c:y val="9.25925925925923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D6A-4CB2-90CA-39D9C18263C0}"/>
                </c:ext>
              </c:extLst>
            </c:dLbl>
            <c:dLbl>
              <c:idx val="2"/>
              <c:delete val="1"/>
              <c:extLst>
                <c:ext xmlns:c15="http://schemas.microsoft.com/office/drawing/2012/chart" uri="{CE6537A1-D6FC-4f65-9D91-7224C49458BB}"/>
                <c:ext xmlns:c16="http://schemas.microsoft.com/office/drawing/2014/chart" uri="{C3380CC4-5D6E-409C-BE32-E72D297353CC}">
                  <c16:uniqueId val="{0000000A-DD6A-4CB2-90CA-39D9C18263C0}"/>
                </c:ext>
              </c:extLst>
            </c:dLbl>
            <c:dLbl>
              <c:idx val="3"/>
              <c:delete val="1"/>
              <c:extLst>
                <c:ext xmlns:c15="http://schemas.microsoft.com/office/drawing/2012/chart" uri="{CE6537A1-D6FC-4f65-9D91-7224C49458BB}"/>
                <c:ext xmlns:c16="http://schemas.microsoft.com/office/drawing/2014/chart" uri="{C3380CC4-5D6E-409C-BE32-E72D297353CC}">
                  <c16:uniqueId val="{00000009-DD6A-4CB2-90CA-39D9C18263C0}"/>
                </c:ext>
              </c:extLst>
            </c:dLbl>
            <c:dLbl>
              <c:idx val="4"/>
              <c:delete val="1"/>
              <c:extLst>
                <c:ext xmlns:c15="http://schemas.microsoft.com/office/drawing/2012/chart" uri="{CE6537A1-D6FC-4f65-9D91-7224C49458BB}"/>
                <c:ext xmlns:c16="http://schemas.microsoft.com/office/drawing/2014/chart" uri="{C3380CC4-5D6E-409C-BE32-E72D297353CC}">
                  <c16:uniqueId val="{00000008-DD6A-4CB2-90CA-39D9C18263C0}"/>
                </c:ext>
              </c:extLst>
            </c:dLbl>
            <c:dLbl>
              <c:idx val="5"/>
              <c:delete val="1"/>
              <c:extLst>
                <c:ext xmlns:c15="http://schemas.microsoft.com/office/drawing/2012/chart" uri="{CE6537A1-D6FC-4f65-9D91-7224C49458BB}"/>
                <c:ext xmlns:c16="http://schemas.microsoft.com/office/drawing/2014/chart" uri="{C3380CC4-5D6E-409C-BE32-E72D297353CC}">
                  <c16:uniqueId val="{00000007-DD6A-4CB2-90CA-39D9C18263C0}"/>
                </c:ext>
              </c:extLst>
            </c:dLbl>
            <c:dLbl>
              <c:idx val="6"/>
              <c:delete val="1"/>
              <c:extLst>
                <c:ext xmlns:c15="http://schemas.microsoft.com/office/drawing/2012/chart" uri="{CE6537A1-D6FC-4f65-9D91-7224C49458BB}"/>
                <c:ext xmlns:c16="http://schemas.microsoft.com/office/drawing/2014/chart" uri="{C3380CC4-5D6E-409C-BE32-E72D297353CC}">
                  <c16:uniqueId val="{00000006-DD6A-4CB2-90CA-39D9C18263C0}"/>
                </c:ext>
              </c:extLst>
            </c:dLbl>
            <c:dLbl>
              <c:idx val="7"/>
              <c:delete val="1"/>
              <c:extLst>
                <c:ext xmlns:c15="http://schemas.microsoft.com/office/drawing/2012/chart" uri="{CE6537A1-D6FC-4f65-9D91-7224C49458BB}"/>
                <c:ext xmlns:c16="http://schemas.microsoft.com/office/drawing/2014/chart" uri="{C3380CC4-5D6E-409C-BE32-E72D297353CC}">
                  <c16:uniqueId val="{00000005-DD6A-4CB2-90CA-39D9C18263C0}"/>
                </c:ext>
              </c:extLst>
            </c:dLbl>
            <c:dLbl>
              <c:idx val="8"/>
              <c:delete val="1"/>
              <c:extLst>
                <c:ext xmlns:c15="http://schemas.microsoft.com/office/drawing/2012/chart" uri="{CE6537A1-D6FC-4f65-9D91-7224C49458BB}"/>
                <c:ext xmlns:c16="http://schemas.microsoft.com/office/drawing/2014/chart" uri="{C3380CC4-5D6E-409C-BE32-E72D297353CC}">
                  <c16:uniqueId val="{00000004-DD6A-4CB2-90CA-39D9C18263C0}"/>
                </c:ext>
              </c:extLst>
            </c:dLbl>
            <c:dLbl>
              <c:idx val="9"/>
              <c:delete val="1"/>
              <c:extLst>
                <c:ext xmlns:c15="http://schemas.microsoft.com/office/drawing/2012/chart" uri="{CE6537A1-D6FC-4f65-9D91-7224C49458BB}"/>
                <c:ext xmlns:c16="http://schemas.microsoft.com/office/drawing/2014/chart" uri="{C3380CC4-5D6E-409C-BE32-E72D297353CC}">
                  <c16:uniqueId val="{00000003-DD6A-4CB2-90CA-39D9C18263C0}"/>
                </c:ext>
              </c:extLst>
            </c:dLbl>
            <c:dLbl>
              <c:idx val="10"/>
              <c:delete val="1"/>
              <c:extLst>
                <c:ext xmlns:c15="http://schemas.microsoft.com/office/drawing/2012/chart" uri="{CE6537A1-D6FC-4f65-9D91-7224C49458BB}"/>
                <c:ext xmlns:c16="http://schemas.microsoft.com/office/drawing/2014/chart" uri="{C3380CC4-5D6E-409C-BE32-E72D297353CC}">
                  <c16:uniqueId val="{00000002-DD6A-4CB2-90CA-39D9C18263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Engine!$A$17:$A$28</c:f>
              <c:strCache>
                <c:ptCount val="11"/>
                <c:pt idx="0">
                  <c:v>Kivell</c:v>
                </c:pt>
                <c:pt idx="1">
                  <c:v>Parent</c:v>
                </c:pt>
                <c:pt idx="2">
                  <c:v>Jardine</c:v>
                </c:pt>
                <c:pt idx="3">
                  <c:v>Jones</c:v>
                </c:pt>
                <c:pt idx="4">
                  <c:v>Gill</c:v>
                </c:pt>
                <c:pt idx="5">
                  <c:v>Smith</c:v>
                </c:pt>
                <c:pt idx="6">
                  <c:v>Morgan</c:v>
                </c:pt>
                <c:pt idx="7">
                  <c:v>Sorvino</c:v>
                </c:pt>
                <c:pt idx="8">
                  <c:v>Thompson</c:v>
                </c:pt>
                <c:pt idx="9">
                  <c:v>Howard</c:v>
                </c:pt>
                <c:pt idx="10">
                  <c:v>Andrews</c:v>
                </c:pt>
              </c:strCache>
            </c:strRef>
          </c:cat>
          <c:val>
            <c:numRef>
              <c:f>Engine!$B$17:$B$28</c:f>
              <c:numCache>
                <c:formatCode>General</c:formatCode>
                <c:ptCount val="11"/>
                <c:pt idx="0">
                  <c:v>3109.44</c:v>
                </c:pt>
                <c:pt idx="1">
                  <c:v>3102.2999999999997</c:v>
                </c:pt>
                <c:pt idx="2">
                  <c:v>2812.19</c:v>
                </c:pt>
                <c:pt idx="3">
                  <c:v>2363.04</c:v>
                </c:pt>
                <c:pt idx="4">
                  <c:v>1749.8700000000001</c:v>
                </c:pt>
                <c:pt idx="5">
                  <c:v>1641.43</c:v>
                </c:pt>
                <c:pt idx="6">
                  <c:v>1387.77</c:v>
                </c:pt>
                <c:pt idx="7">
                  <c:v>1283.6099999999999</c:v>
                </c:pt>
                <c:pt idx="8">
                  <c:v>1203.1099999999999</c:v>
                </c:pt>
                <c:pt idx="9">
                  <c:v>536.75</c:v>
                </c:pt>
                <c:pt idx="10">
                  <c:v>438.37</c:v>
                </c:pt>
              </c:numCache>
            </c:numRef>
          </c:val>
          <c:extLst>
            <c:ext xmlns:c16="http://schemas.microsoft.com/office/drawing/2014/chart" uri="{C3380CC4-5D6E-409C-BE32-E72D297353CC}">
              <c16:uniqueId val="{00000000-DD6A-4CB2-90CA-39D9C18263C0}"/>
            </c:ext>
          </c:extLst>
        </c:ser>
        <c:dLbls>
          <c:showLegendKey val="0"/>
          <c:showVal val="0"/>
          <c:showCatName val="0"/>
          <c:showSerName val="0"/>
          <c:showPercent val="0"/>
          <c:showBubbleSize val="0"/>
        </c:dLbls>
        <c:gapWidth val="219"/>
        <c:overlap val="-27"/>
        <c:axId val="1321711776"/>
        <c:axId val="1321715136"/>
      </c:barChart>
      <c:catAx>
        <c:axId val="132171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Abadi" panose="020B0604020104020204" pitchFamily="34" charset="0"/>
                <a:ea typeface="+mn-ea"/>
                <a:cs typeface="+mn-cs"/>
              </a:defRPr>
            </a:pPr>
            <a:endParaRPr lang="en-US"/>
          </a:p>
        </c:txPr>
        <c:crossAx val="1321715136"/>
        <c:crosses val="autoZero"/>
        <c:auto val="1"/>
        <c:lblAlgn val="ctr"/>
        <c:lblOffset val="100"/>
        <c:noMultiLvlLbl val="0"/>
      </c:catAx>
      <c:valAx>
        <c:axId val="132171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badi" panose="020B0604020104020204" pitchFamily="34" charset="0"/>
                <a:ea typeface="+mn-ea"/>
                <a:cs typeface="+mn-cs"/>
              </a:defRPr>
            </a:pPr>
            <a:endParaRPr lang="en-US"/>
          </a:p>
        </c:txPr>
        <c:crossAx val="132171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[1.xlsx]Engine!item vs units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Abadi" panose="020B0604020104020204" pitchFamily="34" charset="0"/>
              </a:rPr>
              <a:t>Units Sold by Item</a:t>
            </a:r>
            <a:endParaRPr lang="en-US" b="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Abadi" panose="020B0604020104020204" pitchFamily="34" charset="0"/>
                  <a:ea typeface="+mn-ea"/>
                  <a:cs typeface="+mn-cs"/>
                </a:defRPr>
              </a:pPr>
              <a:endParaRPr lang="en-US"/>
            </a:p>
          </c:txPr>
        </c:dLbl>
      </c:pivotFmt>
    </c:pivotFmts>
    <c:plotArea>
      <c:layout/>
      <c:pieChart>
        <c:varyColors val="1"/>
        <c:ser>
          <c:idx val="0"/>
          <c:order val="0"/>
          <c:tx>
            <c:strRef>
              <c:f>Engine!$B$37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3134-4681-8385-CE36B91EC5C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5-3134-4681-8385-CE36B91EC5C3}"/>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3134-4681-8385-CE36B91EC5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3134-4681-8385-CE36B91EC5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Engine!$A$38:$A$43</c:f>
              <c:strCache>
                <c:ptCount val="5"/>
                <c:pt idx="0">
                  <c:v>Binder</c:v>
                </c:pt>
                <c:pt idx="1">
                  <c:v>Desk</c:v>
                </c:pt>
                <c:pt idx="2">
                  <c:v>Pen</c:v>
                </c:pt>
                <c:pt idx="3">
                  <c:v>Pen Set</c:v>
                </c:pt>
                <c:pt idx="4">
                  <c:v>Pencil</c:v>
                </c:pt>
              </c:strCache>
            </c:strRef>
          </c:cat>
          <c:val>
            <c:numRef>
              <c:f>Engine!$B$38:$B$43</c:f>
              <c:numCache>
                <c:formatCode>General</c:formatCode>
                <c:ptCount val="5"/>
                <c:pt idx="0">
                  <c:v>722</c:v>
                </c:pt>
                <c:pt idx="1">
                  <c:v>10</c:v>
                </c:pt>
                <c:pt idx="2">
                  <c:v>278</c:v>
                </c:pt>
                <c:pt idx="3">
                  <c:v>395</c:v>
                </c:pt>
                <c:pt idx="4">
                  <c:v>716</c:v>
                </c:pt>
              </c:numCache>
            </c:numRef>
          </c:val>
          <c:extLst>
            <c:ext xmlns:c16="http://schemas.microsoft.com/office/drawing/2014/chart" uri="{C3380CC4-5D6E-409C-BE32-E72D297353CC}">
              <c16:uniqueId val="{00000000-3134-4681-8385-CE36B91EC5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[1.xlsx]Engine!Month vs sales</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Engine!$B$50</c:f>
              <c:strCache>
                <c:ptCount val="1"/>
                <c:pt idx="0">
                  <c:v>Total</c:v>
                </c:pt>
              </c:strCache>
            </c:strRef>
          </c:tx>
          <c:spPr>
            <a:ln w="28575" cap="rnd">
              <a:solidFill>
                <a:schemeClr val="accent1"/>
              </a:solidFill>
              <a:round/>
            </a:ln>
            <a:effectLst/>
          </c:spPr>
          <c:marker>
            <c:symbol val="none"/>
          </c:marker>
          <c:cat>
            <c:strRef>
              <c:f>Engine!$A$51:$A$63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Engine!$B$51:$B$63</c:f>
              <c:numCache>
                <c:formatCode>General</c:formatCode>
                <c:ptCount val="12"/>
                <c:pt idx="0">
                  <c:v>1602.09</c:v>
                </c:pt>
                <c:pt idx="1">
                  <c:v>2044.33</c:v>
                </c:pt>
                <c:pt idx="2">
                  <c:v>556.87</c:v>
                </c:pt>
                <c:pt idx="3">
                  <c:v>1059.03</c:v>
                </c:pt>
                <c:pt idx="4">
                  <c:v>1300.3499999999999</c:v>
                </c:pt>
                <c:pt idx="5">
                  <c:v>1613.5</c:v>
                </c:pt>
                <c:pt idx="6">
                  <c:v>2673.2299999999996</c:v>
                </c:pt>
                <c:pt idx="7">
                  <c:v>2005.55</c:v>
                </c:pt>
                <c:pt idx="8">
                  <c:v>666.11</c:v>
                </c:pt>
                <c:pt idx="9">
                  <c:v>1984.5699999999997</c:v>
                </c:pt>
                <c:pt idx="10">
                  <c:v>833.78</c:v>
                </c:pt>
                <c:pt idx="11">
                  <c:v>3288.47</c:v>
                </c:pt>
              </c:numCache>
            </c:numRef>
          </c:val>
          <c:smooth val="0"/>
          <c:extLst>
            <c:ext xmlns:c16="http://schemas.microsoft.com/office/drawing/2014/chart" uri="{C3380CC4-5D6E-409C-BE32-E72D297353CC}">
              <c16:uniqueId val="{00000000-A5A2-477C-9602-906A8F564E83}"/>
            </c:ext>
          </c:extLst>
        </c:ser>
        <c:dLbls>
          <c:showLegendKey val="0"/>
          <c:showVal val="0"/>
          <c:showCatName val="0"/>
          <c:showSerName val="0"/>
          <c:showPercent val="0"/>
          <c:showBubbleSize val="0"/>
        </c:dLbls>
        <c:smooth val="0"/>
        <c:axId val="1442502912"/>
        <c:axId val="1442486592"/>
      </c:lineChart>
      <c:catAx>
        <c:axId val="14425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86592"/>
        <c:crosses val="autoZero"/>
        <c:auto val="1"/>
        <c:lblAlgn val="ctr"/>
        <c:lblOffset val="100"/>
        <c:noMultiLvlLbl val="0"/>
      </c:catAx>
      <c:valAx>
        <c:axId val="144248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50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badi" panose="020B0604020104020204" pitchFamily="34" charset="0"/>
                <a:ea typeface="+mn-ea"/>
                <a:cs typeface="+mn-cs"/>
              </a:defRPr>
            </a:pPr>
            <a:r>
              <a:rPr lang="en-US" sz="1000">
                <a:latin typeface="Abadi" panose="020B0604020104020204" pitchFamily="34" charset="0"/>
              </a:rPr>
              <a:t>Correlation</a:t>
            </a:r>
            <a:r>
              <a:rPr lang="en-US" sz="1000" baseline="0">
                <a:latin typeface="Abadi" panose="020B0604020104020204" pitchFamily="34" charset="0"/>
              </a:rPr>
              <a:t> Between unit cost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badi" panose="020B0604020104020204" pitchFamily="34" charset="0"/>
              <a:ea typeface="+mn-ea"/>
              <a:cs typeface="+mn-cs"/>
            </a:defRPr>
          </a:pPr>
          <a:endParaRPr lang="en-US"/>
        </a:p>
      </c:txPr>
    </c:title>
    <c:autoTitleDeleted val="0"/>
    <c:plotArea>
      <c:layout/>
      <c:scatterChart>
        <c:scatterStyle val="lineMarker"/>
        <c:varyColors val="0"/>
        <c:ser>
          <c:idx val="0"/>
          <c:order val="0"/>
          <c:tx>
            <c:strRef>
              <c:f>Engine!$C$79</c:f>
              <c:strCache>
                <c:ptCount val="1"/>
                <c:pt idx="0">
                  <c:v>Sum of Total</c:v>
                </c:pt>
              </c:strCache>
            </c:strRef>
          </c:tx>
          <c:spPr>
            <a:ln w="19050" cap="rnd">
              <a:noFill/>
              <a:round/>
            </a:ln>
            <a:effectLst/>
          </c:spPr>
          <c:marker>
            <c:symbol val="circle"/>
            <c:size val="5"/>
            <c:spPr>
              <a:solidFill>
                <a:schemeClr val="accent1"/>
              </a:solidFill>
              <a:ln w="9525">
                <a:solidFill>
                  <a:schemeClr val="accent1"/>
                </a:solidFill>
              </a:ln>
              <a:effectLst/>
            </c:spPr>
          </c:marker>
          <c:xVal>
            <c:numRef>
              <c:f>Engine!$B$80:$B$84</c:f>
              <c:numCache>
                <c:formatCode>General</c:formatCode>
                <c:ptCount val="5"/>
                <c:pt idx="0">
                  <c:v>11.524000000000001</c:v>
                </c:pt>
                <c:pt idx="1">
                  <c:v>175</c:v>
                </c:pt>
                <c:pt idx="2">
                  <c:v>11.190000000000001</c:v>
                </c:pt>
                <c:pt idx="3">
                  <c:v>11.912857142857144</c:v>
                </c:pt>
                <c:pt idx="4">
                  <c:v>2.7746153846153847</c:v>
                </c:pt>
              </c:numCache>
            </c:numRef>
          </c:xVal>
          <c:yVal>
            <c:numRef>
              <c:f>Engine!$C$80:$C$84</c:f>
              <c:numCache>
                <c:formatCode>General</c:formatCode>
                <c:ptCount val="5"/>
                <c:pt idx="0">
                  <c:v>9577.65</c:v>
                </c:pt>
                <c:pt idx="1">
                  <c:v>1700</c:v>
                </c:pt>
                <c:pt idx="2">
                  <c:v>2045.2199999999998</c:v>
                </c:pt>
                <c:pt idx="3">
                  <c:v>4169.87</c:v>
                </c:pt>
                <c:pt idx="4">
                  <c:v>2135.1400000000003</c:v>
                </c:pt>
              </c:numCache>
            </c:numRef>
          </c:yVal>
          <c:smooth val="0"/>
          <c:extLst>
            <c:ext xmlns:c16="http://schemas.microsoft.com/office/drawing/2014/chart" uri="{C3380CC4-5D6E-409C-BE32-E72D297353CC}">
              <c16:uniqueId val="{00000000-1717-4557-870E-B4439C09BBFC}"/>
            </c:ext>
          </c:extLst>
        </c:ser>
        <c:dLbls>
          <c:showLegendKey val="0"/>
          <c:showVal val="0"/>
          <c:showCatName val="0"/>
          <c:showSerName val="0"/>
          <c:showPercent val="0"/>
          <c:showBubbleSize val="0"/>
        </c:dLbls>
        <c:axId val="1988231168"/>
        <c:axId val="1988228288"/>
      </c:scatterChart>
      <c:valAx>
        <c:axId val="198823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28288"/>
        <c:crosses val="autoZero"/>
        <c:crossBetween val="midCat"/>
      </c:valAx>
      <c:valAx>
        <c:axId val="198822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9882311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[1.xlsx]Engine!ergon vs sales</c:name>
    <c:fmtId val="13"/>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1" i="0" u="none" strike="noStrike" baseline="0">
                <a:solidFill>
                  <a:schemeClr val="tx1"/>
                </a:solidFill>
                <a:latin typeface="Abadi" panose="020B0604020104020204" pitchFamily="34" charset="0"/>
              </a:rPr>
              <a:t>Sales by Region</a:t>
            </a:r>
            <a:endParaRPr lang="en-US" sz="1100" b="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1">
              <a:lumMod val="50000"/>
            </a:schemeClr>
          </a:solidFill>
          <a:ln w="19050">
            <a:noFill/>
          </a:ln>
          <a:effectLst/>
        </c:spPr>
      </c:pivotFmt>
      <c:pivotFmt>
        <c:idx val="7"/>
        <c:spPr>
          <a:solidFill>
            <a:schemeClr val="bg1">
              <a:lumMod val="65000"/>
            </a:schemeClr>
          </a:solidFill>
          <a:ln w="19050">
            <a:noFill/>
          </a:ln>
          <a:effectLst/>
        </c:spPr>
      </c:pivotFmt>
      <c:pivotFmt>
        <c:idx val="8"/>
        <c:spPr>
          <a:solidFill>
            <a:schemeClr val="bg1"/>
          </a:solidFill>
          <a:ln w="19050">
            <a:noFill/>
          </a:ln>
          <a:effectLst/>
        </c:spPr>
      </c:pivotFmt>
    </c:pivotFmts>
    <c:plotArea>
      <c:layout/>
      <c:doughnutChart>
        <c:varyColors val="1"/>
        <c:ser>
          <c:idx val="0"/>
          <c:order val="0"/>
          <c:tx>
            <c:strRef>
              <c:f>Engine!$B$4</c:f>
              <c:strCache>
                <c:ptCount val="1"/>
                <c:pt idx="0">
                  <c:v>Total</c:v>
                </c:pt>
              </c:strCache>
            </c:strRef>
          </c:tx>
          <c:spPr>
            <a:ln>
              <a:noFill/>
            </a:ln>
          </c:spPr>
          <c:explosion val="2"/>
          <c:dPt>
            <c:idx val="0"/>
            <c:bubble3D val="0"/>
            <c:spPr>
              <a:solidFill>
                <a:schemeClr val="bg1">
                  <a:lumMod val="50000"/>
                </a:schemeClr>
              </a:solidFill>
              <a:ln w="19050">
                <a:noFill/>
              </a:ln>
              <a:effectLst/>
            </c:spPr>
            <c:extLst>
              <c:ext xmlns:c16="http://schemas.microsoft.com/office/drawing/2014/chart" uri="{C3380CC4-5D6E-409C-BE32-E72D297353CC}">
                <c16:uniqueId val="{00000001-96B0-4EF5-8352-4EAA1A357761}"/>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96B0-4EF5-8352-4EAA1A357761}"/>
              </c:ext>
            </c:extLst>
          </c:dPt>
          <c:dPt>
            <c:idx val="2"/>
            <c:bubble3D val="0"/>
            <c:spPr>
              <a:solidFill>
                <a:schemeClr val="bg1"/>
              </a:solidFill>
              <a:ln w="19050">
                <a:noFill/>
              </a:ln>
              <a:effectLst/>
            </c:spPr>
            <c:extLst>
              <c:ext xmlns:c16="http://schemas.microsoft.com/office/drawing/2014/chart" uri="{C3380CC4-5D6E-409C-BE32-E72D297353CC}">
                <c16:uniqueId val="{00000005-96B0-4EF5-8352-4EAA1A357761}"/>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Engine!$A$5:$A$8</c:f>
              <c:strCache>
                <c:ptCount val="3"/>
                <c:pt idx="0">
                  <c:v>Central</c:v>
                </c:pt>
                <c:pt idx="1">
                  <c:v>East</c:v>
                </c:pt>
                <c:pt idx="2">
                  <c:v>West</c:v>
                </c:pt>
              </c:strCache>
            </c:strRef>
          </c:cat>
          <c:val>
            <c:numRef>
              <c:f>Engine!$B$5:$B$8</c:f>
              <c:numCache>
                <c:formatCode>General</c:formatCode>
                <c:ptCount val="3"/>
                <c:pt idx="0">
                  <c:v>11139.069999999998</c:v>
                </c:pt>
                <c:pt idx="1">
                  <c:v>6002.09</c:v>
                </c:pt>
                <c:pt idx="2">
                  <c:v>2486.7199999999998</c:v>
                </c:pt>
              </c:numCache>
            </c:numRef>
          </c:val>
          <c:extLst>
            <c:ext xmlns:c16="http://schemas.microsoft.com/office/drawing/2014/chart" uri="{C3380CC4-5D6E-409C-BE32-E72D297353CC}">
              <c16:uniqueId val="{00000006-96B0-4EF5-8352-4EAA1A35776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2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[1.xlsx]Engine!rep vs sales</c:name>
    <c:fmtId val="18"/>
  </c:pivotSource>
  <c:chart>
    <c:title>
      <c:tx>
        <c:rich>
          <a:bodyPr rot="0" spcFirstLastPara="1" vertOverflow="ellipsis" vert="horz" wrap="square" anchor="ctr" anchorCtr="1"/>
          <a:lstStyle/>
          <a:p>
            <a:pPr algn="ctr">
              <a:defRPr lang="en-US" sz="1100" b="1" i="0" u="none" strike="noStrike" kern="1200" spc="0" baseline="0">
                <a:solidFill>
                  <a:schemeClr val="tx1"/>
                </a:solidFill>
                <a:latin typeface="Abadi" panose="020B0604020104020204" pitchFamily="34" charset="0"/>
                <a:ea typeface="+mn-ea"/>
                <a:cs typeface="+mn-cs"/>
              </a:defRPr>
            </a:pPr>
            <a:r>
              <a:rPr lang="en-US" sz="1100" b="1" i="0" u="none" strike="noStrike" kern="1200" baseline="0">
                <a:solidFill>
                  <a:schemeClr val="tx1"/>
                </a:solidFill>
                <a:latin typeface="Abadi" panose="020B0604020104020204" pitchFamily="34" charset="0"/>
                <a:ea typeface="+mn-ea"/>
                <a:cs typeface="+mn-cs"/>
              </a:rPr>
              <a:t>Sales by Representative</a:t>
            </a:r>
          </a:p>
        </c:rich>
      </c:tx>
      <c:overlay val="0"/>
      <c:spPr>
        <a:noFill/>
        <a:ln>
          <a:noFill/>
        </a:ln>
        <a:effectLst/>
      </c:spPr>
      <c:txPr>
        <a:bodyPr rot="0" spcFirstLastPara="1" vertOverflow="ellipsis" vert="horz" wrap="square" anchor="ctr" anchorCtr="1"/>
        <a:lstStyle/>
        <a:p>
          <a:pPr algn="ctr">
            <a:defRPr lang="en-US" sz="1100" b="1" i="0" u="none" strike="noStrike" kern="1200" spc="0" baseline="0">
              <a:solidFill>
                <a:schemeClr val="tx1"/>
              </a:solidFill>
              <a:latin typeface="Abadi" panose="020B0604020104020204" pitchFamily="34" charset="0"/>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dLbl>
          <c:idx val="0"/>
          <c:layout>
            <c:manualLayout>
              <c:x val="2.7777777777777752E-2"/>
              <c:y val="9.25925925925923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pivotFmt>
      <c:pivotFmt>
        <c:idx val="1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pivotFmt>
      <c:pivotFmt>
        <c:idx val="14"/>
        <c:spPr>
          <a:solidFill>
            <a:schemeClr val="bg1">
              <a:lumMod val="50000"/>
            </a:schemeClr>
          </a:solidFill>
          <a:ln>
            <a:noFill/>
          </a:ln>
          <a:effectLst/>
        </c:spPr>
        <c:dLbl>
          <c:idx val="0"/>
          <c:layout>
            <c:manualLayout>
              <c:x val="2.7777777777777752E-2"/>
              <c:y val="9.25925925925923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pivotFmt>
      <c:pivotFmt>
        <c:idx val="26"/>
        <c:spPr>
          <a:solidFill>
            <a:schemeClr val="bg1">
              <a:lumMod val="50000"/>
            </a:schemeClr>
          </a:solidFill>
          <a:ln>
            <a:noFill/>
          </a:ln>
          <a:effectLst/>
        </c:spPr>
        <c:dLbl>
          <c:idx val="0"/>
          <c:layout>
            <c:manualLayout>
              <c:x val="2.7777777777777752E-2"/>
              <c:y val="9.25925925925923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Engine!$B$16</c:f>
              <c:strCache>
                <c:ptCount val="1"/>
                <c:pt idx="0">
                  <c:v>Total</c:v>
                </c:pt>
              </c:strCache>
            </c:strRef>
          </c:tx>
          <c:spPr>
            <a:solidFill>
              <a:schemeClr val="bg1">
                <a:lumMod val="5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7146-42BC-944A-255B9F4ED3F1}"/>
              </c:ext>
            </c:extLst>
          </c:dPt>
          <c:dLbls>
            <c:dLbl>
              <c:idx val="1"/>
              <c:layout>
                <c:manualLayout>
                  <c:x val="2.7777777777777752E-2"/>
                  <c:y val="9.25925925925923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46-42BC-944A-255B9F4ED3F1}"/>
                </c:ext>
              </c:extLst>
            </c:dLbl>
            <c:dLbl>
              <c:idx val="2"/>
              <c:delete val="1"/>
              <c:extLst>
                <c:ext xmlns:c15="http://schemas.microsoft.com/office/drawing/2012/chart" uri="{CE6537A1-D6FC-4f65-9D91-7224C49458BB}"/>
                <c:ext xmlns:c16="http://schemas.microsoft.com/office/drawing/2014/chart" uri="{C3380CC4-5D6E-409C-BE32-E72D297353CC}">
                  <c16:uniqueId val="{00000003-7146-42BC-944A-255B9F4ED3F1}"/>
                </c:ext>
              </c:extLst>
            </c:dLbl>
            <c:dLbl>
              <c:idx val="3"/>
              <c:delete val="1"/>
              <c:extLst>
                <c:ext xmlns:c15="http://schemas.microsoft.com/office/drawing/2012/chart" uri="{CE6537A1-D6FC-4f65-9D91-7224C49458BB}"/>
                <c:ext xmlns:c16="http://schemas.microsoft.com/office/drawing/2014/chart" uri="{C3380CC4-5D6E-409C-BE32-E72D297353CC}">
                  <c16:uniqueId val="{00000004-7146-42BC-944A-255B9F4ED3F1}"/>
                </c:ext>
              </c:extLst>
            </c:dLbl>
            <c:dLbl>
              <c:idx val="4"/>
              <c:delete val="1"/>
              <c:extLst>
                <c:ext xmlns:c15="http://schemas.microsoft.com/office/drawing/2012/chart" uri="{CE6537A1-D6FC-4f65-9D91-7224C49458BB}"/>
                <c:ext xmlns:c16="http://schemas.microsoft.com/office/drawing/2014/chart" uri="{C3380CC4-5D6E-409C-BE32-E72D297353CC}">
                  <c16:uniqueId val="{00000005-7146-42BC-944A-255B9F4ED3F1}"/>
                </c:ext>
              </c:extLst>
            </c:dLbl>
            <c:dLbl>
              <c:idx val="5"/>
              <c:delete val="1"/>
              <c:extLst>
                <c:ext xmlns:c15="http://schemas.microsoft.com/office/drawing/2012/chart" uri="{CE6537A1-D6FC-4f65-9D91-7224C49458BB}"/>
                <c:ext xmlns:c16="http://schemas.microsoft.com/office/drawing/2014/chart" uri="{C3380CC4-5D6E-409C-BE32-E72D297353CC}">
                  <c16:uniqueId val="{00000006-7146-42BC-944A-255B9F4ED3F1}"/>
                </c:ext>
              </c:extLst>
            </c:dLbl>
            <c:dLbl>
              <c:idx val="6"/>
              <c:delete val="1"/>
              <c:extLst>
                <c:ext xmlns:c15="http://schemas.microsoft.com/office/drawing/2012/chart" uri="{CE6537A1-D6FC-4f65-9D91-7224C49458BB}"/>
                <c:ext xmlns:c16="http://schemas.microsoft.com/office/drawing/2014/chart" uri="{C3380CC4-5D6E-409C-BE32-E72D297353CC}">
                  <c16:uniqueId val="{00000007-7146-42BC-944A-255B9F4ED3F1}"/>
                </c:ext>
              </c:extLst>
            </c:dLbl>
            <c:dLbl>
              <c:idx val="7"/>
              <c:delete val="1"/>
              <c:extLst>
                <c:ext xmlns:c15="http://schemas.microsoft.com/office/drawing/2012/chart" uri="{CE6537A1-D6FC-4f65-9D91-7224C49458BB}"/>
                <c:ext xmlns:c16="http://schemas.microsoft.com/office/drawing/2014/chart" uri="{C3380CC4-5D6E-409C-BE32-E72D297353CC}">
                  <c16:uniqueId val="{00000008-7146-42BC-944A-255B9F4ED3F1}"/>
                </c:ext>
              </c:extLst>
            </c:dLbl>
            <c:dLbl>
              <c:idx val="8"/>
              <c:delete val="1"/>
              <c:extLst>
                <c:ext xmlns:c15="http://schemas.microsoft.com/office/drawing/2012/chart" uri="{CE6537A1-D6FC-4f65-9D91-7224C49458BB}"/>
                <c:ext xmlns:c16="http://schemas.microsoft.com/office/drawing/2014/chart" uri="{C3380CC4-5D6E-409C-BE32-E72D297353CC}">
                  <c16:uniqueId val="{00000009-7146-42BC-944A-255B9F4ED3F1}"/>
                </c:ext>
              </c:extLst>
            </c:dLbl>
            <c:dLbl>
              <c:idx val="9"/>
              <c:delete val="1"/>
              <c:extLst>
                <c:ext xmlns:c15="http://schemas.microsoft.com/office/drawing/2012/chart" uri="{CE6537A1-D6FC-4f65-9D91-7224C49458BB}"/>
                <c:ext xmlns:c16="http://schemas.microsoft.com/office/drawing/2014/chart" uri="{C3380CC4-5D6E-409C-BE32-E72D297353CC}">
                  <c16:uniqueId val="{0000000A-7146-42BC-944A-255B9F4ED3F1}"/>
                </c:ext>
              </c:extLst>
            </c:dLbl>
            <c:dLbl>
              <c:idx val="10"/>
              <c:delete val="1"/>
              <c:extLst>
                <c:ext xmlns:c15="http://schemas.microsoft.com/office/drawing/2012/chart" uri="{CE6537A1-D6FC-4f65-9D91-7224C49458BB}"/>
                <c:ext xmlns:c16="http://schemas.microsoft.com/office/drawing/2014/chart" uri="{C3380CC4-5D6E-409C-BE32-E72D297353CC}">
                  <c16:uniqueId val="{0000000B-7146-42BC-944A-255B9F4ED3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Engine!$A$17:$A$28</c:f>
              <c:strCache>
                <c:ptCount val="11"/>
                <c:pt idx="0">
                  <c:v>Kivell</c:v>
                </c:pt>
                <c:pt idx="1">
                  <c:v>Parent</c:v>
                </c:pt>
                <c:pt idx="2">
                  <c:v>Jardine</c:v>
                </c:pt>
                <c:pt idx="3">
                  <c:v>Jones</c:v>
                </c:pt>
                <c:pt idx="4">
                  <c:v>Gill</c:v>
                </c:pt>
                <c:pt idx="5">
                  <c:v>Smith</c:v>
                </c:pt>
                <c:pt idx="6">
                  <c:v>Morgan</c:v>
                </c:pt>
                <c:pt idx="7">
                  <c:v>Sorvino</c:v>
                </c:pt>
                <c:pt idx="8">
                  <c:v>Thompson</c:v>
                </c:pt>
                <c:pt idx="9">
                  <c:v>Howard</c:v>
                </c:pt>
                <c:pt idx="10">
                  <c:v>Andrews</c:v>
                </c:pt>
              </c:strCache>
            </c:strRef>
          </c:cat>
          <c:val>
            <c:numRef>
              <c:f>Engine!$B$17:$B$28</c:f>
              <c:numCache>
                <c:formatCode>General</c:formatCode>
                <c:ptCount val="11"/>
                <c:pt idx="0">
                  <c:v>3109.44</c:v>
                </c:pt>
                <c:pt idx="1">
                  <c:v>3102.2999999999997</c:v>
                </c:pt>
                <c:pt idx="2">
                  <c:v>2812.19</c:v>
                </c:pt>
                <c:pt idx="3">
                  <c:v>2363.04</c:v>
                </c:pt>
                <c:pt idx="4">
                  <c:v>1749.8700000000001</c:v>
                </c:pt>
                <c:pt idx="5">
                  <c:v>1641.43</c:v>
                </c:pt>
                <c:pt idx="6">
                  <c:v>1387.77</c:v>
                </c:pt>
                <c:pt idx="7">
                  <c:v>1283.6099999999999</c:v>
                </c:pt>
                <c:pt idx="8">
                  <c:v>1203.1099999999999</c:v>
                </c:pt>
                <c:pt idx="9">
                  <c:v>536.75</c:v>
                </c:pt>
                <c:pt idx="10">
                  <c:v>438.37</c:v>
                </c:pt>
              </c:numCache>
            </c:numRef>
          </c:val>
          <c:extLst>
            <c:ext xmlns:c16="http://schemas.microsoft.com/office/drawing/2014/chart" uri="{C3380CC4-5D6E-409C-BE32-E72D297353CC}">
              <c16:uniqueId val="{0000000C-7146-42BC-944A-255B9F4ED3F1}"/>
            </c:ext>
          </c:extLst>
        </c:ser>
        <c:dLbls>
          <c:showLegendKey val="0"/>
          <c:showVal val="0"/>
          <c:showCatName val="0"/>
          <c:showSerName val="0"/>
          <c:showPercent val="0"/>
          <c:showBubbleSize val="0"/>
        </c:dLbls>
        <c:gapWidth val="100"/>
        <c:overlap val="-27"/>
        <c:axId val="1321711776"/>
        <c:axId val="1321715136"/>
      </c:barChart>
      <c:catAx>
        <c:axId val="132171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Abadi" panose="020B0604020104020204" pitchFamily="34" charset="0"/>
                <a:ea typeface="+mn-ea"/>
                <a:cs typeface="+mn-cs"/>
              </a:defRPr>
            </a:pPr>
            <a:endParaRPr lang="en-US"/>
          </a:p>
        </c:txPr>
        <c:crossAx val="1321715136"/>
        <c:crosses val="autoZero"/>
        <c:auto val="1"/>
        <c:lblAlgn val="ctr"/>
        <c:lblOffset val="100"/>
        <c:noMultiLvlLbl val="0"/>
      </c:catAx>
      <c:valAx>
        <c:axId val="132171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badi" panose="020B0604020104020204" pitchFamily="34" charset="0"/>
                <a:ea typeface="+mn-ea"/>
                <a:cs typeface="+mn-cs"/>
              </a:defRPr>
            </a:pPr>
            <a:endParaRPr lang="en-US"/>
          </a:p>
        </c:txPr>
        <c:crossAx val="132171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[1.xlsx]Engine!item vs units</c:name>
    <c:fmtId val="2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chemeClr val="tx1"/>
                </a:solidFill>
                <a:latin typeface="Abadi" panose="020B0604020104020204" pitchFamily="34" charset="0"/>
              </a:rPr>
              <a:t>Units Sold by Item</a:t>
            </a:r>
            <a:endParaRPr lang="en-US" sz="1100" b="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w="19050">
            <a:solidFill>
              <a:schemeClr val="lt1"/>
            </a:solidFill>
          </a:ln>
          <a:effectLst/>
        </c:spPr>
      </c:pivotFmt>
      <c:pivotFmt>
        <c:idx val="2"/>
        <c:spPr>
          <a:solidFill>
            <a:schemeClr val="bg1">
              <a:lumMod val="75000"/>
            </a:schemeClr>
          </a:solidFill>
          <a:ln w="19050">
            <a:solidFill>
              <a:schemeClr val="lt1"/>
            </a:solidFill>
          </a:ln>
          <a:effectLst/>
        </c:spPr>
      </c:pivotFmt>
      <c:pivotFmt>
        <c:idx val="3"/>
        <c:spPr>
          <a:solidFill>
            <a:srgbClr val="DDDDDD"/>
          </a:solidFill>
          <a:ln w="19050">
            <a:solidFill>
              <a:schemeClr val="lt1"/>
            </a:solidFill>
          </a:ln>
          <a:effectLst/>
        </c:spPr>
      </c:pivotFmt>
      <c:pivotFmt>
        <c:idx val="4"/>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Abadi" panose="020B0604020104020204" pitchFamily="34" charset="0"/>
                  <a:ea typeface="+mn-ea"/>
                  <a:cs typeface="+mn-cs"/>
                </a:defRPr>
              </a:pPr>
              <a:endParaRPr lang="en-US"/>
            </a:p>
          </c:txPr>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DDDDD"/>
          </a:solidFill>
          <a:ln w="19050">
            <a:solidFill>
              <a:schemeClr val="lt1"/>
            </a:solidFill>
          </a:ln>
          <a:effectLst/>
        </c:spPr>
      </c:pivotFmt>
      <c:pivotFmt>
        <c:idx val="7"/>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bg1">
              <a:lumMod val="75000"/>
            </a:schemeClr>
          </a:solidFill>
          <a:ln w="19050">
            <a:solidFill>
              <a:schemeClr val="lt1"/>
            </a:solidFill>
          </a:ln>
          <a:effectLst/>
        </c:spPr>
      </c:pivotFmt>
      <c:pivotFmt>
        <c:idx val="10"/>
        <c:spPr>
          <a:solidFill>
            <a:schemeClr val="bg1">
              <a:lumMod val="50000"/>
            </a:schemeClr>
          </a:solidFill>
          <a:ln w="19050">
            <a:solidFill>
              <a:schemeClr val="lt1"/>
            </a:solid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DDDDD"/>
          </a:solidFill>
          <a:ln w="19050">
            <a:noFill/>
          </a:ln>
          <a:effectLst/>
        </c:spPr>
      </c:pivotFmt>
      <c:pivotFmt>
        <c:idx val="13"/>
        <c:spPr>
          <a:solidFill>
            <a:srgbClr val="FF0000"/>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noFill/>
          </a:ln>
          <a:effectLst/>
        </c:spPr>
      </c:pivotFmt>
      <c:pivotFmt>
        <c:idx val="15"/>
        <c:spPr>
          <a:solidFill>
            <a:schemeClr val="tx2">
              <a:lumMod val="60000"/>
              <a:lumOff val="40000"/>
            </a:schemeClr>
          </a:solidFill>
          <a:ln w="19050">
            <a:noFill/>
          </a:ln>
          <a:effectLst/>
        </c:spPr>
      </c:pivotFmt>
      <c:pivotFmt>
        <c:idx val="16"/>
        <c:spPr>
          <a:solidFill>
            <a:schemeClr val="bg1">
              <a:lumMod val="50000"/>
            </a:schemeClr>
          </a:solidFill>
          <a:ln w="19050">
            <a:noFill/>
          </a:ln>
          <a:effectLst/>
        </c:spPr>
      </c:pivotFmt>
    </c:pivotFmts>
    <c:plotArea>
      <c:layout/>
      <c:pieChart>
        <c:varyColors val="1"/>
        <c:ser>
          <c:idx val="0"/>
          <c:order val="0"/>
          <c:tx>
            <c:strRef>
              <c:f>Engine!$B$37</c:f>
              <c:strCache>
                <c:ptCount val="1"/>
                <c:pt idx="0">
                  <c:v>Total</c:v>
                </c:pt>
              </c:strCache>
            </c:strRef>
          </c:tx>
          <c:spPr>
            <a:ln>
              <a:noFill/>
            </a:ln>
          </c:spPr>
          <c:dPt>
            <c:idx val="0"/>
            <c:bubble3D val="0"/>
            <c:spPr>
              <a:solidFill>
                <a:srgbClr val="DDDDDD"/>
              </a:solidFill>
              <a:ln w="19050">
                <a:noFill/>
              </a:ln>
              <a:effectLst/>
            </c:spPr>
            <c:extLst>
              <c:ext xmlns:c16="http://schemas.microsoft.com/office/drawing/2014/chart" uri="{C3380CC4-5D6E-409C-BE32-E72D297353CC}">
                <c16:uniqueId val="{00000001-74A5-45A7-82CD-1B451B6280B7}"/>
              </c:ext>
            </c:extLst>
          </c:dPt>
          <c:dPt>
            <c:idx val="1"/>
            <c:bubble3D val="0"/>
            <c:spPr>
              <a:solidFill>
                <a:srgbClr val="FF0000"/>
              </a:solidFill>
              <a:ln w="19050">
                <a:noFill/>
              </a:ln>
              <a:effectLst/>
            </c:spPr>
            <c:extLst>
              <c:ext xmlns:c16="http://schemas.microsoft.com/office/drawing/2014/chart" uri="{C3380CC4-5D6E-409C-BE32-E72D297353CC}">
                <c16:uniqueId val="{00000003-74A5-45A7-82CD-1B451B6280B7}"/>
              </c:ext>
            </c:extLst>
          </c:dPt>
          <c:dPt>
            <c:idx val="2"/>
            <c:bubble3D val="0"/>
            <c:spPr>
              <a:solidFill>
                <a:schemeClr val="accent3"/>
              </a:solidFill>
              <a:ln w="19050">
                <a:noFill/>
              </a:ln>
              <a:effectLst/>
            </c:spPr>
            <c:extLst>
              <c:ext xmlns:c16="http://schemas.microsoft.com/office/drawing/2014/chart" uri="{C3380CC4-5D6E-409C-BE32-E72D297353CC}">
                <c16:uniqueId val="{00000005-74A5-45A7-82CD-1B451B6280B7}"/>
              </c:ext>
            </c:extLst>
          </c:dPt>
          <c:dPt>
            <c:idx val="3"/>
            <c:bubble3D val="0"/>
            <c:spPr>
              <a:solidFill>
                <a:schemeClr val="tx2">
                  <a:lumMod val="60000"/>
                  <a:lumOff val="40000"/>
                </a:schemeClr>
              </a:solidFill>
              <a:ln w="19050">
                <a:noFill/>
              </a:ln>
              <a:effectLst/>
            </c:spPr>
            <c:extLst>
              <c:ext xmlns:c16="http://schemas.microsoft.com/office/drawing/2014/chart" uri="{C3380CC4-5D6E-409C-BE32-E72D297353CC}">
                <c16:uniqueId val="{00000007-74A5-45A7-82CD-1B451B6280B7}"/>
              </c:ext>
            </c:extLst>
          </c:dPt>
          <c:dPt>
            <c:idx val="4"/>
            <c:bubble3D val="0"/>
            <c:spPr>
              <a:solidFill>
                <a:schemeClr val="bg1">
                  <a:lumMod val="50000"/>
                </a:schemeClr>
              </a:solidFill>
              <a:ln w="19050">
                <a:noFill/>
              </a:ln>
              <a:effectLst/>
            </c:spPr>
            <c:extLst>
              <c:ext xmlns:c16="http://schemas.microsoft.com/office/drawing/2014/chart" uri="{C3380CC4-5D6E-409C-BE32-E72D297353CC}">
                <c16:uniqueId val="{00000009-74A5-45A7-82CD-1B451B6280B7}"/>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74A5-45A7-82CD-1B451B6280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Engine!$A$38:$A$43</c:f>
              <c:strCache>
                <c:ptCount val="5"/>
                <c:pt idx="0">
                  <c:v>Binder</c:v>
                </c:pt>
                <c:pt idx="1">
                  <c:v>Desk</c:v>
                </c:pt>
                <c:pt idx="2">
                  <c:v>Pen</c:v>
                </c:pt>
                <c:pt idx="3">
                  <c:v>Pen Set</c:v>
                </c:pt>
                <c:pt idx="4">
                  <c:v>Pencil</c:v>
                </c:pt>
              </c:strCache>
            </c:strRef>
          </c:cat>
          <c:val>
            <c:numRef>
              <c:f>Engine!$B$38:$B$43</c:f>
              <c:numCache>
                <c:formatCode>General</c:formatCode>
                <c:ptCount val="5"/>
                <c:pt idx="0">
                  <c:v>722</c:v>
                </c:pt>
                <c:pt idx="1">
                  <c:v>10</c:v>
                </c:pt>
                <c:pt idx="2">
                  <c:v>278</c:v>
                </c:pt>
                <c:pt idx="3">
                  <c:v>395</c:v>
                </c:pt>
                <c:pt idx="4">
                  <c:v>716</c:v>
                </c:pt>
              </c:numCache>
            </c:numRef>
          </c:val>
          <c:extLst>
            <c:ext xmlns:c16="http://schemas.microsoft.com/office/drawing/2014/chart" uri="{C3380CC4-5D6E-409C-BE32-E72D297353CC}">
              <c16:uniqueId val="{0000000A-74A5-45A7-82CD-1B451B6280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1.4225313275529273E-2"/>
          <c:y val="0.1836706729922577"/>
          <c:w val="0.96506428914284537"/>
          <c:h val="0.181112099116150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2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[1.xlsx]Engine!Month vs sales</c:name>
    <c:fmtId val="29"/>
  </c:pivotSource>
  <c:chart>
    <c:title>
      <c:tx>
        <c:rich>
          <a:bodyPr rot="0" spcFirstLastPara="1" vertOverflow="ellipsis" vert="horz" wrap="square" anchor="ctr" anchorCtr="1"/>
          <a:lstStyle/>
          <a:p>
            <a:pPr algn="ctr">
              <a:defRPr lang="en-US" sz="900" b="1" i="0" u="none" strike="noStrike" kern="1200" spc="0" baseline="0">
                <a:solidFill>
                  <a:schemeClr val="tx1"/>
                </a:solidFill>
                <a:latin typeface="Abadi" panose="020B0604020104020204" pitchFamily="34" charset="0"/>
                <a:ea typeface="+mn-ea"/>
                <a:cs typeface="+mn-cs"/>
              </a:defRPr>
            </a:pPr>
            <a:r>
              <a:rPr lang="en-US" sz="1100" b="1" i="0" u="none" strike="noStrike" baseline="0"/>
              <a:t>Monthly Sales Trend</a:t>
            </a:r>
            <a:endParaRPr lang="en-US" sz="1100" b="1" i="0" u="none" strike="noStrike" kern="1200" baseline="0">
              <a:solidFill>
                <a:schemeClr val="tx1"/>
              </a:solidFill>
              <a:latin typeface="Abadi" panose="020B0604020104020204" pitchFamily="34" charset="0"/>
              <a:ea typeface="+mn-ea"/>
              <a:cs typeface="+mn-cs"/>
            </a:endParaRPr>
          </a:p>
        </c:rich>
      </c:tx>
      <c:overlay val="0"/>
      <c:spPr>
        <a:noFill/>
        <a:ln>
          <a:noFill/>
        </a:ln>
        <a:effectLst/>
      </c:spPr>
      <c:txPr>
        <a:bodyPr rot="0" spcFirstLastPara="1" vertOverflow="ellipsis" vert="horz" wrap="square" anchor="ctr" anchorCtr="1"/>
        <a:lstStyle/>
        <a:p>
          <a:pPr algn="ctr">
            <a:defRPr lang="en-US" sz="900" b="1" i="0" u="none" strike="noStrike" kern="1200" spc="0" baseline="0">
              <a:solidFill>
                <a:schemeClr val="tx1"/>
              </a:solidFill>
              <a:latin typeface="Abadi" panose="020B0604020104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Engine!$B$50</c:f>
              <c:strCache>
                <c:ptCount val="1"/>
                <c:pt idx="0">
                  <c:v>Total</c:v>
                </c:pt>
              </c:strCache>
            </c:strRef>
          </c:tx>
          <c:spPr>
            <a:ln w="28575" cap="rnd">
              <a:solidFill>
                <a:schemeClr val="bg1">
                  <a:lumMod val="50000"/>
                </a:schemeClr>
              </a:solidFill>
              <a:round/>
            </a:ln>
            <a:effectLst/>
          </c:spPr>
          <c:marker>
            <c:symbol val="none"/>
          </c:marker>
          <c:cat>
            <c:strRef>
              <c:f>Engine!$A$51:$A$63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Engine!$B$51:$B$63</c:f>
              <c:numCache>
                <c:formatCode>General</c:formatCode>
                <c:ptCount val="12"/>
                <c:pt idx="0">
                  <c:v>1602.09</c:v>
                </c:pt>
                <c:pt idx="1">
                  <c:v>2044.33</c:v>
                </c:pt>
                <c:pt idx="2">
                  <c:v>556.87</c:v>
                </c:pt>
                <c:pt idx="3">
                  <c:v>1059.03</c:v>
                </c:pt>
                <c:pt idx="4">
                  <c:v>1300.3499999999999</c:v>
                </c:pt>
                <c:pt idx="5">
                  <c:v>1613.5</c:v>
                </c:pt>
                <c:pt idx="6">
                  <c:v>2673.2299999999996</c:v>
                </c:pt>
                <c:pt idx="7">
                  <c:v>2005.55</c:v>
                </c:pt>
                <c:pt idx="8">
                  <c:v>666.11</c:v>
                </c:pt>
                <c:pt idx="9">
                  <c:v>1984.5699999999997</c:v>
                </c:pt>
                <c:pt idx="10">
                  <c:v>833.78</c:v>
                </c:pt>
                <c:pt idx="11">
                  <c:v>3288.47</c:v>
                </c:pt>
              </c:numCache>
            </c:numRef>
          </c:val>
          <c:smooth val="0"/>
          <c:extLst>
            <c:ext xmlns:c16="http://schemas.microsoft.com/office/drawing/2014/chart" uri="{C3380CC4-5D6E-409C-BE32-E72D297353CC}">
              <c16:uniqueId val="{00000000-27D9-4D2E-809F-6A64F981A13A}"/>
            </c:ext>
          </c:extLst>
        </c:ser>
        <c:dLbls>
          <c:showLegendKey val="0"/>
          <c:showVal val="0"/>
          <c:showCatName val="0"/>
          <c:showSerName val="0"/>
          <c:showPercent val="0"/>
          <c:showBubbleSize val="0"/>
        </c:dLbls>
        <c:smooth val="0"/>
        <c:axId val="1442502912"/>
        <c:axId val="1442486592"/>
      </c:lineChart>
      <c:catAx>
        <c:axId val="14425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Abadi" panose="020B0604020104020204" pitchFamily="34" charset="0"/>
                <a:ea typeface="+mn-ea"/>
                <a:cs typeface="+mn-cs"/>
              </a:defRPr>
            </a:pPr>
            <a:endParaRPr lang="en-US"/>
          </a:p>
        </c:txPr>
        <c:crossAx val="1442486592"/>
        <c:crosses val="autoZero"/>
        <c:auto val="1"/>
        <c:lblAlgn val="ctr"/>
        <c:lblOffset val="100"/>
        <c:noMultiLvlLbl val="0"/>
      </c:catAx>
      <c:valAx>
        <c:axId val="144248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Abadi" panose="020B0604020104020204" pitchFamily="34" charset="0"/>
                <a:ea typeface="+mn-ea"/>
                <a:cs typeface="+mn-cs"/>
              </a:defRPr>
            </a:pPr>
            <a:endParaRPr lang="en-US"/>
          </a:p>
        </c:txPr>
        <c:crossAx val="144250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358140</xdr:colOff>
      <xdr:row>11</xdr:row>
      <xdr:rowOff>53340</xdr:rowOff>
    </xdr:from>
    <xdr:to>
      <xdr:col>12</xdr:col>
      <xdr:colOff>106680</xdr:colOff>
      <xdr:row>14</xdr:row>
      <xdr:rowOff>137160</xdr:rowOff>
    </xdr:to>
    <xdr:sp macro="" textlink="$K$6">
      <xdr:nvSpPr>
        <xdr:cNvPr id="3" name="Rectangle: Rounded Corners 2">
          <a:extLst>
            <a:ext uri="{FF2B5EF4-FFF2-40B4-BE49-F238E27FC236}">
              <a16:creationId xmlns:a16="http://schemas.microsoft.com/office/drawing/2014/main" id="{37627867-17EB-4700-A878-20BF9771089A}"/>
            </a:ext>
          </a:extLst>
        </xdr:cNvPr>
        <xdr:cNvSpPr/>
      </xdr:nvSpPr>
      <xdr:spPr>
        <a:xfrm>
          <a:off x="6713220" y="2072640"/>
          <a:ext cx="1257300" cy="63246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marL="0" indent="0" algn="ctr"/>
          <a:fld id="{3015ECA0-7D6C-46E5-80C9-908CC8410AD3}" type="TxLink">
            <a:rPr lang="en-US" sz="1400" b="1" i="0" u="none" strike="noStrike">
              <a:solidFill>
                <a:srgbClr val="000000"/>
              </a:solidFill>
              <a:latin typeface="Agency FB" panose="020B0503020202020204" pitchFamily="34" charset="0"/>
              <a:ea typeface="Calibri"/>
              <a:cs typeface="Biome" panose="020B0502040204020203" pitchFamily="34" charset="0"/>
            </a:rPr>
            <a:pPr marL="0" indent="0" algn="ctr"/>
            <a:t>19627.88</a:t>
          </a:fld>
          <a:endParaRPr lang="en-US" sz="4000" b="1" i="0" u="none" strike="noStrike">
            <a:solidFill>
              <a:srgbClr val="FFFFFF"/>
            </a:solidFill>
            <a:latin typeface="Agency FB" panose="020B0503020202020204" pitchFamily="34" charset="0"/>
            <a:ea typeface="ADLaM Display" panose="02010000000000000000" pitchFamily="2" charset="0"/>
            <a:cs typeface="Biome" panose="020B0502040204020203" pitchFamily="34" charset="0"/>
          </a:endParaRPr>
        </a:p>
      </xdr:txBody>
    </xdr:sp>
    <xdr:clientData/>
  </xdr:twoCellAnchor>
  <xdr:twoCellAnchor>
    <xdr:from>
      <xdr:col>13</xdr:col>
      <xdr:colOff>0</xdr:colOff>
      <xdr:row>12</xdr:row>
      <xdr:rowOff>91440</xdr:rowOff>
    </xdr:from>
    <xdr:to>
      <xdr:col>14</xdr:col>
      <xdr:colOff>647700</xdr:colOff>
      <xdr:row>16</xdr:row>
      <xdr:rowOff>0</xdr:rowOff>
    </xdr:to>
    <xdr:sp macro="" textlink="$M$6">
      <xdr:nvSpPr>
        <xdr:cNvPr id="4" name="Rectangle: Rounded Corners 3">
          <a:extLst>
            <a:ext uri="{FF2B5EF4-FFF2-40B4-BE49-F238E27FC236}">
              <a16:creationId xmlns:a16="http://schemas.microsoft.com/office/drawing/2014/main" id="{EBA07E71-B9DA-4423-B15F-D10063D8CF25}"/>
            </a:ext>
          </a:extLst>
        </xdr:cNvPr>
        <xdr:cNvSpPr/>
      </xdr:nvSpPr>
      <xdr:spPr>
        <a:xfrm>
          <a:off x="8839200" y="2293620"/>
          <a:ext cx="1257300" cy="64008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marL="0" indent="0" algn="ctr"/>
          <a:fld id="{5768E43C-AAFE-44D0-80DB-BEEB4C737054}" type="TxLink">
            <a:rPr lang="en-US" sz="1400" b="1" i="0" u="none" strike="noStrike">
              <a:solidFill>
                <a:srgbClr val="000000"/>
              </a:solidFill>
              <a:latin typeface="Agency FB" panose="020B0503020202020204" pitchFamily="34" charset="0"/>
              <a:ea typeface="Calibri"/>
              <a:cs typeface="Biome" panose="020B0502040204020203" pitchFamily="34" charset="0"/>
            </a:rPr>
            <a:pPr marL="0" indent="0" algn="ctr"/>
            <a:t>2121</a:t>
          </a:fld>
          <a:endParaRPr lang="en-US" sz="1400" b="1" i="0" u="none" strike="noStrike">
            <a:solidFill>
              <a:srgbClr val="000000"/>
            </a:solidFill>
            <a:latin typeface="Agency FB" panose="020B0503020202020204" pitchFamily="34" charset="0"/>
            <a:ea typeface="Calibri"/>
            <a:cs typeface="Biome" panose="020B0502040204020203" pitchFamily="34" charset="0"/>
          </a:endParaRPr>
        </a:p>
      </xdr:txBody>
    </xdr:sp>
    <xdr:clientData/>
  </xdr:twoCellAnchor>
  <xdr:twoCellAnchor>
    <xdr:from>
      <xdr:col>14</xdr:col>
      <xdr:colOff>1074420</xdr:colOff>
      <xdr:row>10</xdr:row>
      <xdr:rowOff>68580</xdr:rowOff>
    </xdr:from>
    <xdr:to>
      <xdr:col>16</xdr:col>
      <xdr:colOff>449580</xdr:colOff>
      <xdr:row>13</xdr:row>
      <xdr:rowOff>68580</xdr:rowOff>
    </xdr:to>
    <xdr:sp macro="" textlink="$O$6">
      <xdr:nvSpPr>
        <xdr:cNvPr id="5" name="Rectangle: Rounded Corners 4">
          <a:extLst>
            <a:ext uri="{FF2B5EF4-FFF2-40B4-BE49-F238E27FC236}">
              <a16:creationId xmlns:a16="http://schemas.microsoft.com/office/drawing/2014/main" id="{2D7DF783-2599-4141-BD4E-F04A904013DF}"/>
            </a:ext>
          </a:extLst>
        </xdr:cNvPr>
        <xdr:cNvSpPr/>
      </xdr:nvSpPr>
      <xdr:spPr>
        <a:xfrm>
          <a:off x="10523220" y="1905000"/>
          <a:ext cx="1257300" cy="54864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marL="0" indent="0" algn="ctr"/>
          <a:fld id="{EA9E3078-C554-4A63-BD4E-7393EA1DC0A9}" type="TxLink">
            <a:rPr lang="en-US" sz="1400" b="1" i="0" u="none" strike="noStrike">
              <a:solidFill>
                <a:srgbClr val="000000"/>
              </a:solidFill>
              <a:latin typeface="Agency FB" panose="020B0503020202020204" pitchFamily="34" charset="0"/>
              <a:ea typeface="Calibri"/>
              <a:cs typeface="Biome" panose="020B0502040204020203" pitchFamily="34" charset="0"/>
            </a:rPr>
            <a:pPr marL="0" indent="0" algn="ctr"/>
            <a:t>456.46</a:t>
          </a:fld>
          <a:endParaRPr lang="en-US" sz="1400" b="1" i="0" u="none" strike="noStrike">
            <a:solidFill>
              <a:srgbClr val="000000"/>
            </a:solidFill>
            <a:latin typeface="Agency FB" panose="020B0503020202020204" pitchFamily="34" charset="0"/>
            <a:ea typeface="Calibri"/>
            <a:cs typeface="Biome" panose="020B0502040204020203" pitchFamily="34" charset="0"/>
          </a:endParaRPr>
        </a:p>
      </xdr:txBody>
    </xdr:sp>
    <xdr:clientData/>
  </xdr:twoCellAnchor>
  <xdr:twoCellAnchor>
    <xdr:from>
      <xdr:col>12</xdr:col>
      <xdr:colOff>914400</xdr:colOff>
      <xdr:row>12</xdr:row>
      <xdr:rowOff>167640</xdr:rowOff>
    </xdr:from>
    <xdr:to>
      <xdr:col>14</xdr:col>
      <xdr:colOff>723900</xdr:colOff>
      <xdr:row>14</xdr:row>
      <xdr:rowOff>45720</xdr:rowOff>
    </xdr:to>
    <xdr:sp macro="" textlink="">
      <xdr:nvSpPr>
        <xdr:cNvPr id="6" name="TextBox 5">
          <a:extLst>
            <a:ext uri="{FF2B5EF4-FFF2-40B4-BE49-F238E27FC236}">
              <a16:creationId xmlns:a16="http://schemas.microsoft.com/office/drawing/2014/main" id="{D732B067-260B-EAB8-32F8-A451D861FA68}"/>
            </a:ext>
          </a:extLst>
        </xdr:cNvPr>
        <xdr:cNvSpPr txBox="1"/>
      </xdr:nvSpPr>
      <xdr:spPr>
        <a:xfrm>
          <a:off x="8778240" y="2369820"/>
          <a:ext cx="1394460" cy="243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dk1"/>
              </a:solidFill>
              <a:latin typeface="Abadi" panose="020B0604020104020204" pitchFamily="34" charset="0"/>
              <a:ea typeface="+mn-ea"/>
              <a:cs typeface="+mn-cs"/>
            </a:rPr>
            <a:t>Total Units Sold </a:t>
          </a:r>
        </a:p>
      </xdr:txBody>
    </xdr:sp>
    <xdr:clientData/>
  </xdr:twoCellAnchor>
  <xdr:twoCellAnchor>
    <xdr:from>
      <xdr:col>10</xdr:col>
      <xdr:colOff>365760</xdr:colOff>
      <xdr:row>11</xdr:row>
      <xdr:rowOff>121920</xdr:rowOff>
    </xdr:from>
    <xdr:to>
      <xdr:col>12</xdr:col>
      <xdr:colOff>121920</xdr:colOff>
      <xdr:row>13</xdr:row>
      <xdr:rowOff>15240</xdr:rowOff>
    </xdr:to>
    <xdr:sp macro="" textlink="">
      <xdr:nvSpPr>
        <xdr:cNvPr id="7" name="TextBox 6">
          <a:extLst>
            <a:ext uri="{FF2B5EF4-FFF2-40B4-BE49-F238E27FC236}">
              <a16:creationId xmlns:a16="http://schemas.microsoft.com/office/drawing/2014/main" id="{3EFFAF84-ED42-40FA-942F-45C270988416}"/>
            </a:ext>
          </a:extLst>
        </xdr:cNvPr>
        <xdr:cNvSpPr txBox="1"/>
      </xdr:nvSpPr>
      <xdr:spPr>
        <a:xfrm>
          <a:off x="6720840" y="2141220"/>
          <a:ext cx="1264920" cy="259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latin typeface="Abadi" panose="020B0604020104020204" pitchFamily="34" charset="0"/>
            </a:rPr>
            <a:t>Total Revenue</a:t>
          </a:r>
        </a:p>
      </xdr:txBody>
    </xdr:sp>
    <xdr:clientData/>
  </xdr:twoCellAnchor>
  <xdr:twoCellAnchor>
    <xdr:from>
      <xdr:col>15</xdr:col>
      <xdr:colOff>167640</xdr:colOff>
      <xdr:row>10</xdr:row>
      <xdr:rowOff>106680</xdr:rowOff>
    </xdr:from>
    <xdr:to>
      <xdr:col>16</xdr:col>
      <xdr:colOff>76200</xdr:colOff>
      <xdr:row>11</xdr:row>
      <xdr:rowOff>160020</xdr:rowOff>
    </xdr:to>
    <xdr:sp macro="" textlink="">
      <xdr:nvSpPr>
        <xdr:cNvPr id="8" name="TextBox 7">
          <a:extLst>
            <a:ext uri="{FF2B5EF4-FFF2-40B4-BE49-F238E27FC236}">
              <a16:creationId xmlns:a16="http://schemas.microsoft.com/office/drawing/2014/main" id="{BF2DEBC8-1C4F-4341-A02C-E7CA8EEB09A1}"/>
            </a:ext>
          </a:extLst>
        </xdr:cNvPr>
        <xdr:cNvSpPr txBox="1"/>
      </xdr:nvSpPr>
      <xdr:spPr>
        <a:xfrm>
          <a:off x="10888980" y="1943100"/>
          <a:ext cx="518160" cy="236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dk1"/>
              </a:solidFill>
              <a:latin typeface="Abadi" panose="020B0604020104020204" pitchFamily="34" charset="0"/>
              <a:ea typeface="+mn-ea"/>
              <a:cs typeface="+mn-cs"/>
            </a:rPr>
            <a:t>AOV</a:t>
          </a:r>
        </a:p>
      </xdr:txBody>
    </xdr:sp>
    <xdr:clientData/>
  </xdr:twoCellAnchor>
  <xdr:twoCellAnchor>
    <xdr:from>
      <xdr:col>2</xdr:col>
      <xdr:colOff>464820</xdr:colOff>
      <xdr:row>3</xdr:row>
      <xdr:rowOff>53340</xdr:rowOff>
    </xdr:from>
    <xdr:to>
      <xdr:col>6</xdr:col>
      <xdr:colOff>510540</xdr:colOff>
      <xdr:row>12</xdr:row>
      <xdr:rowOff>160020</xdr:rowOff>
    </xdr:to>
    <xdr:graphicFrame macro="">
      <xdr:nvGraphicFramePr>
        <xdr:cNvPr id="9" name="Chart 8">
          <a:extLst>
            <a:ext uri="{FF2B5EF4-FFF2-40B4-BE49-F238E27FC236}">
              <a16:creationId xmlns:a16="http://schemas.microsoft.com/office/drawing/2014/main" id="{AF6CFD5B-B8A8-8296-BBDF-7FF47DBB7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14</xdr:row>
      <xdr:rowOff>152400</xdr:rowOff>
    </xdr:from>
    <xdr:to>
      <xdr:col>8</xdr:col>
      <xdr:colOff>358140</xdr:colOff>
      <xdr:row>27</xdr:row>
      <xdr:rowOff>53340</xdr:rowOff>
    </xdr:to>
    <xdr:graphicFrame macro="">
      <xdr:nvGraphicFramePr>
        <xdr:cNvPr id="2" name="Chart 1">
          <a:extLst>
            <a:ext uri="{FF2B5EF4-FFF2-40B4-BE49-F238E27FC236}">
              <a16:creationId xmlns:a16="http://schemas.microsoft.com/office/drawing/2014/main" id="{387CE70D-2B86-3E88-0BD3-5C328EB10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431409</xdr:colOff>
      <xdr:row>28</xdr:row>
      <xdr:rowOff>168226</xdr:rowOff>
    </xdr:from>
    <xdr:to>
      <xdr:col>8</xdr:col>
      <xdr:colOff>35169</xdr:colOff>
      <xdr:row>42</xdr:row>
      <xdr:rowOff>117231</xdr:rowOff>
    </xdr:to>
    <xdr:graphicFrame macro="">
      <xdr:nvGraphicFramePr>
        <xdr:cNvPr id="10" name="Chart 9">
          <a:extLst>
            <a:ext uri="{FF2B5EF4-FFF2-40B4-BE49-F238E27FC236}">
              <a16:creationId xmlns:a16="http://schemas.microsoft.com/office/drawing/2014/main" id="{718E6D5F-3077-D3F9-1DC6-970B43A40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307731</xdr:colOff>
      <xdr:row>47</xdr:row>
      <xdr:rowOff>155331</xdr:rowOff>
    </xdr:from>
    <xdr:to>
      <xdr:col>8</xdr:col>
      <xdr:colOff>322385</xdr:colOff>
      <xdr:row>61</xdr:row>
      <xdr:rowOff>158261</xdr:rowOff>
    </xdr:to>
    <xdr:graphicFrame macro="">
      <xdr:nvGraphicFramePr>
        <xdr:cNvPr id="11" name="Chart 10">
          <a:extLst>
            <a:ext uri="{FF2B5EF4-FFF2-40B4-BE49-F238E27FC236}">
              <a16:creationId xmlns:a16="http://schemas.microsoft.com/office/drawing/2014/main" id="{C2927E62-46EA-AB50-8B9E-2720FE202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325317</xdr:colOff>
      <xdr:row>69</xdr:row>
      <xdr:rowOff>175847</xdr:rowOff>
    </xdr:from>
    <xdr:to>
      <xdr:col>8</xdr:col>
      <xdr:colOff>439617</xdr:colOff>
      <xdr:row>79</xdr:row>
      <xdr:rowOff>169985</xdr:rowOff>
    </xdr:to>
    <xdr:graphicFrame macro="">
      <xdr:nvGraphicFramePr>
        <xdr:cNvPr id="12" name="Chart 11">
          <a:extLst>
            <a:ext uri="{FF2B5EF4-FFF2-40B4-BE49-F238E27FC236}">
              <a16:creationId xmlns:a16="http://schemas.microsoft.com/office/drawing/2014/main" id="{DC74AF27-CB6D-5D15-4C79-36611E0D7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277306</xdr:colOff>
      <xdr:row>4</xdr:row>
      <xdr:rowOff>139479</xdr:rowOff>
    </xdr:from>
    <xdr:to>
      <xdr:col>3</xdr:col>
      <xdr:colOff>315406</xdr:colOff>
      <xdr:row>8</xdr:row>
      <xdr:rowOff>45389</xdr:rowOff>
    </xdr:to>
    <xdr:sp macro="" textlink="Engine!$K$6">
      <xdr:nvSpPr>
        <xdr:cNvPr id="2" name="Rectangle: Rounded Corners 1">
          <a:extLst>
            <a:ext uri="{FF2B5EF4-FFF2-40B4-BE49-F238E27FC236}">
              <a16:creationId xmlns:a16="http://schemas.microsoft.com/office/drawing/2014/main" id="{762FA5AA-C823-4120-A48E-3C06CFC042AE}"/>
            </a:ext>
          </a:extLst>
        </xdr:cNvPr>
        <xdr:cNvSpPr/>
      </xdr:nvSpPr>
      <xdr:spPr>
        <a:xfrm>
          <a:off x="886906" y="881601"/>
          <a:ext cx="1257300" cy="648031"/>
        </a:xfrm>
        <a:prstGeom prst="roundRect">
          <a:avLst/>
        </a:prstGeom>
        <a:effectLst>
          <a:outerShdw blurRad="63500" sx="102000" sy="102000" algn="ctr"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marL="0" indent="0" algn="ctr"/>
          <a:fld id="{54A7A217-52AF-4E03-BBC4-1D498E9B14E1}" type="TxLink">
            <a:rPr lang="en-US" sz="1400" b="1" i="0" u="none" strike="noStrike">
              <a:solidFill>
                <a:srgbClr val="000000"/>
              </a:solidFill>
              <a:latin typeface="Agency FB" panose="020B0503020202020204" pitchFamily="34" charset="0"/>
              <a:ea typeface="Calibri"/>
              <a:cs typeface="Calibri"/>
            </a:rPr>
            <a:pPr marL="0" indent="0" algn="ctr"/>
            <a:t>19627.88</a:t>
          </a:fld>
          <a:endParaRPr lang="en-US" sz="4800" b="1" i="0" u="none" strike="noStrike">
            <a:solidFill>
              <a:srgbClr val="FFFFFF"/>
            </a:solidFill>
            <a:latin typeface="Agency FB" panose="020B0503020202020204" pitchFamily="34" charset="0"/>
            <a:ea typeface="ADLaM Display" panose="02010000000000000000" pitchFamily="2" charset="0"/>
            <a:cs typeface="Biome" panose="020B0502040204020203" pitchFamily="34" charset="0"/>
          </a:endParaRPr>
        </a:p>
      </xdr:txBody>
    </xdr:sp>
    <xdr:clientData/>
  </xdr:twoCellAnchor>
  <xdr:twoCellAnchor>
    <xdr:from>
      <xdr:col>4</xdr:col>
      <xdr:colOff>73883</xdr:colOff>
      <xdr:row>4</xdr:row>
      <xdr:rowOff>140473</xdr:rowOff>
    </xdr:from>
    <xdr:to>
      <xdr:col>6</xdr:col>
      <xdr:colOff>111983</xdr:colOff>
      <xdr:row>8</xdr:row>
      <xdr:rowOff>46383</xdr:rowOff>
    </xdr:to>
    <xdr:sp macro="" textlink="Engine!$M$6">
      <xdr:nvSpPr>
        <xdr:cNvPr id="3" name="Rectangle: Rounded Corners 2">
          <a:extLst>
            <a:ext uri="{FF2B5EF4-FFF2-40B4-BE49-F238E27FC236}">
              <a16:creationId xmlns:a16="http://schemas.microsoft.com/office/drawing/2014/main" id="{4D1D1367-140C-462B-BD9B-1886BB2DE8AB}"/>
            </a:ext>
          </a:extLst>
        </xdr:cNvPr>
        <xdr:cNvSpPr/>
      </xdr:nvSpPr>
      <xdr:spPr>
        <a:xfrm>
          <a:off x="2512283" y="882595"/>
          <a:ext cx="1257300" cy="648031"/>
        </a:xfrm>
        <a:prstGeom prst="roundRect">
          <a:avLst/>
        </a:prstGeom>
        <a:effectLst>
          <a:outerShdw blurRad="63500" sx="102000" sy="102000" algn="ctr"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marL="0" indent="0" algn="ctr"/>
          <a:fld id="{2EE80226-A9D2-46BB-8F6A-7721B84A2036}" type="TxLink">
            <a:rPr lang="en-US" sz="1400" b="1" i="0" u="none" strike="noStrike">
              <a:solidFill>
                <a:srgbClr val="000000"/>
              </a:solidFill>
              <a:latin typeface="Agency FB" panose="020B0503020202020204" pitchFamily="34" charset="0"/>
              <a:ea typeface="Calibri"/>
              <a:cs typeface="Calibri"/>
            </a:rPr>
            <a:pPr marL="0" indent="0" algn="ctr"/>
            <a:t>2121</a:t>
          </a:fld>
          <a:endParaRPr lang="en-US" sz="1400" b="1" i="0" u="none" strike="noStrike">
            <a:solidFill>
              <a:srgbClr val="000000"/>
            </a:solidFill>
            <a:latin typeface="Agency FB" panose="020B0503020202020204" pitchFamily="34" charset="0"/>
            <a:ea typeface="Calibri"/>
            <a:cs typeface="Calibri"/>
          </a:endParaRPr>
        </a:p>
      </xdr:txBody>
    </xdr:sp>
    <xdr:clientData/>
  </xdr:twoCellAnchor>
  <xdr:twoCellAnchor>
    <xdr:from>
      <xdr:col>6</xdr:col>
      <xdr:colOff>540363</xdr:colOff>
      <xdr:row>4</xdr:row>
      <xdr:rowOff>147099</xdr:rowOff>
    </xdr:from>
    <xdr:to>
      <xdr:col>8</xdr:col>
      <xdr:colOff>578463</xdr:colOff>
      <xdr:row>8</xdr:row>
      <xdr:rowOff>53009</xdr:rowOff>
    </xdr:to>
    <xdr:sp macro="" textlink="Engine!$O$6">
      <xdr:nvSpPr>
        <xdr:cNvPr id="4" name="Rectangle: Rounded Corners 3">
          <a:extLst>
            <a:ext uri="{FF2B5EF4-FFF2-40B4-BE49-F238E27FC236}">
              <a16:creationId xmlns:a16="http://schemas.microsoft.com/office/drawing/2014/main" id="{787B04AF-6F68-4B70-A1FE-437655041618}"/>
            </a:ext>
          </a:extLst>
        </xdr:cNvPr>
        <xdr:cNvSpPr/>
      </xdr:nvSpPr>
      <xdr:spPr>
        <a:xfrm>
          <a:off x="4197963" y="889221"/>
          <a:ext cx="1257300" cy="648031"/>
        </a:xfrm>
        <a:prstGeom prst="roundRect">
          <a:avLst/>
        </a:prstGeom>
        <a:effectLst>
          <a:outerShdw blurRad="63500" sx="102000" sy="102000" algn="ctr"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marL="0" indent="0" algn="ctr"/>
          <a:fld id="{B26216AA-3EC8-4E68-BE41-5085C05601B9}" type="TxLink">
            <a:rPr lang="en-US" sz="1400" b="1" i="0" u="none" strike="noStrike">
              <a:solidFill>
                <a:srgbClr val="000000"/>
              </a:solidFill>
              <a:latin typeface="Agency FB" panose="020B0503020202020204" pitchFamily="34" charset="0"/>
              <a:ea typeface="Calibri"/>
              <a:cs typeface="Calibri"/>
            </a:rPr>
            <a:pPr marL="0" indent="0" algn="ctr"/>
            <a:t>456.46</a:t>
          </a:fld>
          <a:endParaRPr lang="en-US" sz="1400" b="1" i="0" u="none" strike="noStrike">
            <a:solidFill>
              <a:srgbClr val="000000"/>
            </a:solidFill>
            <a:latin typeface="Agency FB" panose="020B0503020202020204" pitchFamily="34" charset="0"/>
            <a:ea typeface="Calibri"/>
            <a:cs typeface="Calibri"/>
          </a:endParaRPr>
        </a:p>
      </xdr:txBody>
    </xdr:sp>
    <xdr:clientData/>
  </xdr:twoCellAnchor>
  <xdr:twoCellAnchor>
    <xdr:from>
      <xdr:col>4</xdr:col>
      <xdr:colOff>270015</xdr:colOff>
      <xdr:row>5</xdr:row>
      <xdr:rowOff>62617</xdr:rowOff>
    </xdr:from>
    <xdr:to>
      <xdr:col>5</xdr:col>
      <xdr:colOff>543336</xdr:colOff>
      <xdr:row>6</xdr:row>
      <xdr:rowOff>141467</xdr:rowOff>
    </xdr:to>
    <xdr:sp macro="" textlink="">
      <xdr:nvSpPr>
        <xdr:cNvPr id="5" name="TextBox 4">
          <a:extLst>
            <a:ext uri="{FF2B5EF4-FFF2-40B4-BE49-F238E27FC236}">
              <a16:creationId xmlns:a16="http://schemas.microsoft.com/office/drawing/2014/main" id="{37BB9243-0234-4CFB-91C3-75140F7B1B97}"/>
            </a:ext>
          </a:extLst>
        </xdr:cNvPr>
        <xdr:cNvSpPr txBox="1"/>
      </xdr:nvSpPr>
      <xdr:spPr>
        <a:xfrm>
          <a:off x="2708415" y="990269"/>
          <a:ext cx="882921" cy="26438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badi" panose="020B0604020104020204" pitchFamily="34" charset="0"/>
              <a:ea typeface="+mn-ea"/>
              <a:cs typeface="+mn-cs"/>
            </a:rPr>
            <a:t>Units Sold </a:t>
          </a:r>
        </a:p>
      </xdr:txBody>
    </xdr:sp>
    <xdr:clientData/>
  </xdr:twoCellAnchor>
  <xdr:twoCellAnchor>
    <xdr:from>
      <xdr:col>1</xdr:col>
      <xdr:colOff>366428</xdr:colOff>
      <xdr:row>5</xdr:row>
      <xdr:rowOff>73882</xdr:rowOff>
    </xdr:from>
    <xdr:to>
      <xdr:col>3</xdr:col>
      <xdr:colOff>318052</xdr:colOff>
      <xdr:row>6</xdr:row>
      <xdr:rowOff>152732</xdr:rowOff>
    </xdr:to>
    <xdr:sp macro="" textlink="">
      <xdr:nvSpPr>
        <xdr:cNvPr id="6" name="TextBox 5">
          <a:extLst>
            <a:ext uri="{FF2B5EF4-FFF2-40B4-BE49-F238E27FC236}">
              <a16:creationId xmlns:a16="http://schemas.microsoft.com/office/drawing/2014/main" id="{7B0C19F3-777A-462D-B1AD-E1F5F653ADE0}"/>
            </a:ext>
          </a:extLst>
        </xdr:cNvPr>
        <xdr:cNvSpPr txBox="1"/>
      </xdr:nvSpPr>
      <xdr:spPr>
        <a:xfrm>
          <a:off x="976028" y="1001534"/>
          <a:ext cx="1170824" cy="26438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badi" panose="020B0604020104020204" pitchFamily="34" charset="0"/>
            </a:rPr>
            <a:t>Total Revenue</a:t>
          </a:r>
        </a:p>
      </xdr:txBody>
    </xdr:sp>
    <xdr:clientData/>
  </xdr:twoCellAnchor>
  <xdr:twoCellAnchor>
    <xdr:from>
      <xdr:col>7</xdr:col>
      <xdr:colOff>317395</xdr:colOff>
      <xdr:row>5</xdr:row>
      <xdr:rowOff>72887</xdr:rowOff>
    </xdr:from>
    <xdr:to>
      <xdr:col>8</xdr:col>
      <xdr:colOff>225955</xdr:colOff>
      <xdr:row>6</xdr:row>
      <xdr:rowOff>126227</xdr:rowOff>
    </xdr:to>
    <xdr:sp macro="" textlink="">
      <xdr:nvSpPr>
        <xdr:cNvPr id="7" name="TextBox 6">
          <a:extLst>
            <a:ext uri="{FF2B5EF4-FFF2-40B4-BE49-F238E27FC236}">
              <a16:creationId xmlns:a16="http://schemas.microsoft.com/office/drawing/2014/main" id="{8B3F5119-77AC-4723-B21B-C0A472C8B7C2}"/>
            </a:ext>
          </a:extLst>
        </xdr:cNvPr>
        <xdr:cNvSpPr txBox="1"/>
      </xdr:nvSpPr>
      <xdr:spPr>
        <a:xfrm>
          <a:off x="4584595" y="1000539"/>
          <a:ext cx="518160" cy="23887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badi" panose="020B0604020104020204" pitchFamily="34" charset="0"/>
              <a:ea typeface="+mn-ea"/>
              <a:cs typeface="+mn-cs"/>
            </a:rPr>
            <a:t>AOV</a:t>
          </a:r>
        </a:p>
      </xdr:txBody>
    </xdr:sp>
    <xdr:clientData/>
  </xdr:twoCellAnchor>
  <xdr:twoCellAnchor>
    <xdr:from>
      <xdr:col>1</xdr:col>
      <xdr:colOff>274320</xdr:colOff>
      <xdr:row>9</xdr:row>
      <xdr:rowOff>60960</xdr:rowOff>
    </xdr:from>
    <xdr:to>
      <xdr:col>4</xdr:col>
      <xdr:colOff>381000</xdr:colOff>
      <xdr:row>19</xdr:row>
      <xdr:rowOff>83820</xdr:rowOff>
    </xdr:to>
    <xdr:graphicFrame macro="">
      <xdr:nvGraphicFramePr>
        <xdr:cNvPr id="9" name="Chart 8">
          <a:extLst>
            <a:ext uri="{FF2B5EF4-FFF2-40B4-BE49-F238E27FC236}">
              <a16:creationId xmlns:a16="http://schemas.microsoft.com/office/drawing/2014/main" id="{B0B976AB-5BC7-4B0A-B018-560CE1F0C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510540</xdr:colOff>
      <xdr:row>9</xdr:row>
      <xdr:rowOff>60960</xdr:rowOff>
    </xdr:from>
    <xdr:to>
      <xdr:col>11</xdr:col>
      <xdr:colOff>457200</xdr:colOff>
      <xdr:row>19</xdr:row>
      <xdr:rowOff>76200</xdr:rowOff>
    </xdr:to>
    <xdr:graphicFrame macro="">
      <xdr:nvGraphicFramePr>
        <xdr:cNvPr id="8" name="Chart 7">
          <a:extLst>
            <a:ext uri="{FF2B5EF4-FFF2-40B4-BE49-F238E27FC236}">
              <a16:creationId xmlns:a16="http://schemas.microsoft.com/office/drawing/2014/main" id="{8128BCA5-FD82-406A-951C-CF74CF254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274320</xdr:colOff>
      <xdr:row>20</xdr:row>
      <xdr:rowOff>22861</xdr:rowOff>
    </xdr:from>
    <xdr:to>
      <xdr:col>4</xdr:col>
      <xdr:colOff>388620</xdr:colOff>
      <xdr:row>31</xdr:row>
      <xdr:rowOff>83820</xdr:rowOff>
    </xdr:to>
    <xdr:graphicFrame macro="">
      <xdr:nvGraphicFramePr>
        <xdr:cNvPr id="10" name="Chart 9">
          <a:extLst>
            <a:ext uri="{FF2B5EF4-FFF2-40B4-BE49-F238E27FC236}">
              <a16:creationId xmlns:a16="http://schemas.microsoft.com/office/drawing/2014/main" id="{7B5C972A-CF45-49B1-BECA-096A4DC29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517829</xdr:colOff>
      <xdr:row>20</xdr:row>
      <xdr:rowOff>21866</xdr:rowOff>
    </xdr:from>
    <xdr:to>
      <xdr:col>11</xdr:col>
      <xdr:colOff>456869</xdr:colOff>
      <xdr:row>31</xdr:row>
      <xdr:rowOff>72887</xdr:rowOff>
    </xdr:to>
    <xdr:graphicFrame macro="">
      <xdr:nvGraphicFramePr>
        <xdr:cNvPr id="11" name="Chart 10">
          <a:extLst>
            <a:ext uri="{FF2B5EF4-FFF2-40B4-BE49-F238E27FC236}">
              <a16:creationId xmlns:a16="http://schemas.microsoft.com/office/drawing/2014/main" id="{20E6DCD8-6942-4C34-BFA1-D861B041F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159026</xdr:colOff>
      <xdr:row>0</xdr:row>
      <xdr:rowOff>145775</xdr:rowOff>
    </xdr:from>
    <xdr:to>
      <xdr:col>9</xdr:col>
      <xdr:colOff>86139</xdr:colOff>
      <xdr:row>3</xdr:row>
      <xdr:rowOff>33132</xdr:rowOff>
    </xdr:to>
    <xdr:sp macro="" textlink="Engine!$O$6">
      <xdr:nvSpPr>
        <xdr:cNvPr id="12" name="Rectangle: Rounded Corners 11">
          <a:extLst>
            <a:ext uri="{FF2B5EF4-FFF2-40B4-BE49-F238E27FC236}">
              <a16:creationId xmlns:a16="http://schemas.microsoft.com/office/drawing/2014/main" id="{43E1B688-1181-4DB8-BC37-49240820F6AF}"/>
            </a:ext>
          </a:extLst>
        </xdr:cNvPr>
        <xdr:cNvSpPr/>
      </xdr:nvSpPr>
      <xdr:spPr>
        <a:xfrm>
          <a:off x="768626" y="145775"/>
          <a:ext cx="4803913" cy="443948"/>
        </a:xfrm>
        <a:prstGeom prst="roundRect">
          <a:avLst/>
        </a:prstGeom>
        <a:effectLst>
          <a:outerShdw blurRad="63500" sx="102000" sy="102000" algn="ctr"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marL="0" indent="0" algn="ctr"/>
          <a:r>
            <a:rPr lang="en-US" sz="1400" b="1" i="0" u="none" strike="noStrike">
              <a:solidFill>
                <a:srgbClr val="000000"/>
              </a:solidFill>
              <a:latin typeface="Agency FB" panose="020B0503020202020204" pitchFamily="34" charset="0"/>
              <a:ea typeface="Calibri"/>
              <a:cs typeface="Calibri"/>
            </a:rPr>
            <a:t>Simple</a:t>
          </a:r>
          <a:r>
            <a:rPr lang="en-US" sz="1400" b="1" i="0" u="none" strike="noStrike" baseline="0">
              <a:solidFill>
                <a:srgbClr val="000000"/>
              </a:solidFill>
              <a:latin typeface="Agency FB" panose="020B0503020202020204" pitchFamily="34" charset="0"/>
              <a:ea typeface="Calibri"/>
              <a:cs typeface="Calibri"/>
            </a:rPr>
            <a:t> Dashboard Sales Domain</a:t>
          </a:r>
          <a:endParaRPr lang="en-US" sz="1400" b="1" i="0" u="none" strike="noStrike">
            <a:solidFill>
              <a:srgbClr val="000000"/>
            </a:solidFill>
            <a:latin typeface="Agency FB" panose="020B0503020202020204" pitchFamily="34" charset="0"/>
            <a:ea typeface="Calibri"/>
            <a:cs typeface="Calibri"/>
          </a:endParaRPr>
        </a:p>
      </xdr:txBody>
    </xdr:sp>
    <xdr:clientData/>
  </xdr:twoCellAnchor>
  <xdr:twoCellAnchor>
    <xdr:from>
      <xdr:col>9</xdr:col>
      <xdr:colOff>424069</xdr:colOff>
      <xdr:row>4</xdr:row>
      <xdr:rowOff>139148</xdr:rowOff>
    </xdr:from>
    <xdr:to>
      <xdr:col>11</xdr:col>
      <xdr:colOff>462169</xdr:colOff>
      <xdr:row>8</xdr:row>
      <xdr:rowOff>45058</xdr:rowOff>
    </xdr:to>
    <xdr:sp macro="" textlink="Engine!Q6">
      <xdr:nvSpPr>
        <xdr:cNvPr id="13" name="Rectangle: Rounded Corners 12">
          <a:extLst>
            <a:ext uri="{FF2B5EF4-FFF2-40B4-BE49-F238E27FC236}">
              <a16:creationId xmlns:a16="http://schemas.microsoft.com/office/drawing/2014/main" id="{064857F2-59C0-4A04-961C-FF0AB1B5B5B2}"/>
            </a:ext>
          </a:extLst>
        </xdr:cNvPr>
        <xdr:cNvSpPr/>
      </xdr:nvSpPr>
      <xdr:spPr>
        <a:xfrm>
          <a:off x="5910469" y="881270"/>
          <a:ext cx="1257300" cy="648031"/>
        </a:xfrm>
        <a:prstGeom prst="roundRect">
          <a:avLst/>
        </a:prstGeom>
        <a:effectLst>
          <a:outerShdw blurRad="63500" sx="102000" sy="102000" algn="ctr"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b"/>
        <a:lstStyle/>
        <a:p>
          <a:pPr marL="0" indent="0" algn="ctr"/>
          <a:fld id="{89B0CEA3-A62A-49E5-88E3-BE92C9ED9981}" type="TxLink">
            <a:rPr lang="en-US" sz="1400" b="1" i="0" u="none" strike="noStrike">
              <a:solidFill>
                <a:srgbClr val="000000"/>
              </a:solidFill>
              <a:latin typeface="Agency FB" panose="020B0503020202020204" pitchFamily="34" charset="0"/>
              <a:ea typeface="Calibri"/>
              <a:cs typeface="Calibri"/>
            </a:rPr>
            <a:pPr marL="0" indent="0" algn="ctr"/>
            <a:t>3</a:t>
          </a:fld>
          <a:endParaRPr lang="en-US" sz="1400" b="1" i="0" u="none" strike="noStrike">
            <a:solidFill>
              <a:srgbClr val="000000"/>
            </a:solidFill>
            <a:latin typeface="Agency FB" panose="020B0503020202020204" pitchFamily="34" charset="0"/>
            <a:ea typeface="Calibri"/>
            <a:cs typeface="Calibri"/>
          </a:endParaRPr>
        </a:p>
      </xdr:txBody>
    </xdr:sp>
    <xdr:clientData/>
  </xdr:twoCellAnchor>
  <xdr:twoCellAnchor>
    <xdr:from>
      <xdr:col>10</xdr:col>
      <xdr:colOff>125894</xdr:colOff>
      <xdr:row>5</xdr:row>
      <xdr:rowOff>53009</xdr:rowOff>
    </xdr:from>
    <xdr:to>
      <xdr:col>11</xdr:col>
      <xdr:colOff>172278</xdr:colOff>
      <xdr:row>6</xdr:row>
      <xdr:rowOff>106349</xdr:rowOff>
    </xdr:to>
    <xdr:sp macro="" textlink="">
      <xdr:nvSpPr>
        <xdr:cNvPr id="14" name="TextBox 13">
          <a:extLst>
            <a:ext uri="{FF2B5EF4-FFF2-40B4-BE49-F238E27FC236}">
              <a16:creationId xmlns:a16="http://schemas.microsoft.com/office/drawing/2014/main" id="{87B8C2F0-8018-4269-BAAA-F300AB115EBA}"/>
            </a:ext>
          </a:extLst>
        </xdr:cNvPr>
        <xdr:cNvSpPr txBox="1"/>
      </xdr:nvSpPr>
      <xdr:spPr>
        <a:xfrm>
          <a:off x="6221894" y="980661"/>
          <a:ext cx="655984" cy="23887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badi" panose="020B0604020104020204" pitchFamily="34" charset="0"/>
              <a:ea typeface="+mn-ea"/>
              <a:cs typeface="+mn-cs"/>
            </a:rPr>
            <a:t>Region</a:t>
          </a:r>
        </a:p>
      </xdr:txBody>
    </xdr:sp>
    <xdr:clientData/>
  </xdr:twoCellAnchor>
  <xdr:twoCellAnchor editAs="oneCell">
    <xdr:from>
      <xdr:col>9</xdr:col>
      <xdr:colOff>443948</xdr:colOff>
      <xdr:row>0</xdr:row>
      <xdr:rowOff>92765</xdr:rowOff>
    </xdr:from>
    <xdr:to>
      <xdr:col>11</xdr:col>
      <xdr:colOff>373609</xdr:colOff>
      <xdr:row>3</xdr:row>
      <xdr:rowOff>112644</xdr:rowOff>
    </xdr:to>
    <mc:AlternateContent xmlns:mc="http://schemas.openxmlformats.org/markup-compatibility/2006">
      <mc:Choice xmlns:a14="http://schemas.microsoft.com/office/drawing/2010/main" Requires="a14">
        <xdr:graphicFrame macro="">
          <xdr:nvGraphicFramePr>
            <xdr:cNvPr id="15" name="OrderDate (Year)">
              <a:extLst>
                <a:ext uri="{FF2B5EF4-FFF2-40B4-BE49-F238E27FC236}">
                  <a16:creationId xmlns:a16="http://schemas.microsoft.com/office/drawing/2014/main" id="{9E91B7B8-0C4C-49C7-89FA-21D80C8A6AF2}"/>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5930348" y="92765"/>
              <a:ext cx="1148861" cy="568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69648842592" backgroundQuery="1" createdVersion="8" refreshedVersion="8" minRefreshableVersion="3" recordCount="0" supportSubquery="1" supportAdvancedDrill="1" xr:uid="{25510649-7F3E-48C6-BEDE-9059335FED07}">
  <cacheSource type="external" connectionId="2"/>
  <cacheFields count="3">
    <cacheField name="[SalesOrders].[Item].[Item]" caption="Item" numFmtId="0" hierarchy="3" level="1">
      <sharedItems count="5">
        <s v="Binder"/>
        <s v="Desk"/>
        <s v="Pen"/>
        <s v="Pen Set"/>
        <s v="Pencil"/>
      </sharedItems>
    </cacheField>
    <cacheField name="[Measures].[Average of Unit Cost]" caption="Average of Unit Cost" numFmtId="0" hierarchy="17" level="32767"/>
    <cacheField name="[Measures].[Sum of Total]" caption="Sum of Total" numFmtId="0" hierarchy="13" level="32767"/>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2" memberValueDatatype="130" unbalanced="0">
      <fieldsUsage count="2">
        <fieldUsage x="-1"/>
        <fieldUsage x="0"/>
      </fieldsUsage>
    </cacheHierarchy>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0" memberValueDatatype="130" unbalanced="0"/>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33101849" backgroundQuery="1" createdVersion="8" refreshedVersion="8" minRefreshableVersion="3" recordCount="0" supportSubquery="1" supportAdvancedDrill="1" xr:uid="{05316B8F-E3CD-4F54-828D-B84FAF63FDA2}">
  <cacheSource type="external" connectionId="2"/>
  <cacheFields count="2">
    <cacheField name="[Measures].[Sum of Total]" caption="Sum of Total" numFmtId="0" hierarchy="13" level="32767"/>
    <cacheField name="[SalesOrders].[Rep].[Rep]" caption="Rep" numFmtId="0" hierarchy="2" level="1">
      <sharedItems count="11">
        <s v="Andrews"/>
        <s v="Gill"/>
        <s v="Howard"/>
        <s v="Jardine"/>
        <s v="Jones"/>
        <s v="Kivell"/>
        <s v="Morgan"/>
        <s v="Parent"/>
        <s v="Smith"/>
        <s v="Sorvino"/>
        <s v="Thompson"/>
      </sharedItems>
    </cacheField>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2" memberValueDatatype="130" unbalanced="0">
      <fieldsUsage count="2">
        <fieldUsage x="-1"/>
        <fieldUsage x="1"/>
      </fieldsUsage>
    </cacheHierarchy>
    <cacheHierarchy uniqueName="[SalesOrders].[Item]" caption="Item" attribute="1" defaultMemberUniqueName="[SalesOrders].[Item].[All]" allUniqueName="[SalesOrders].[Item].[All]" dimensionUniqueName="[SalesOrders]" displayFolder="" count="0" memberValueDatatype="130" unbalanced="0"/>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64004631" backgroundQuery="1" createdVersion="8" refreshedVersion="8" minRefreshableVersion="3" recordCount="0" supportSubquery="1" supportAdvancedDrill="1" xr:uid="{5D68A591-A284-4A2B-BD1B-4D2C2A5DA287}">
  <cacheSource type="external" connectionId="2"/>
  <cacheFields count="3">
    <cacheField name="[SalesOrders].[OrderDate (Month)].[OrderDate (Month)]" caption="OrderDate (Month)" numFmtId="0" hierarchy="9" level="1">
      <sharedItems count="12">
        <s v="Jan"/>
        <s v="Feb"/>
        <s v="Mar"/>
        <s v="Apr"/>
        <s v="May"/>
        <s v="Jun"/>
        <s v="Jul"/>
        <s v="Aug"/>
        <s v="Sep"/>
        <s v="Oct"/>
        <s v="Nov"/>
        <s v="Dec"/>
      </sharedItems>
    </cacheField>
    <cacheField name="[Measures].[Sum of Total]" caption="Sum of Total" numFmtId="0" hierarchy="13" level="32767"/>
    <cacheField name="[SalesOrders].[OrderDate (Year)].[OrderDate (Year)]" caption="OrderDate (Year)" numFmtId="0" hierarchy="7" level="1">
      <sharedItems containsSemiMixedTypes="0" containsNonDate="0" containsString="0"/>
    </cacheField>
  </cacheFields>
  <cacheHierarchies count="20">
    <cacheHierarchy uniqueName="[SalesOrders].[OrderDate]" caption="OrderDate" attribute="1" time="1" defaultMemberUniqueName="[SalesOrders].[OrderDate].[All]" allUniqueName="[SalesOrders].[OrderDate].[All]" dimensionUniqueName="[SalesOrders]" displayFolder="" count="2" memberValueDatatype="7" unbalanced="0"/>
    <cacheHierarchy uniqueName="[SalesOrders].[Region]" caption="Region" attribute="1" defaultMemberUniqueName="[SalesOrders].[Region].[All]" allUniqueName="[SalesOrders].[Region].[All]" dimensionUniqueName="[SalesOrders]" displayFolder="" count="2" memberValueDatatype="130" unbalanced="0"/>
    <cacheHierarchy uniqueName="[SalesOrders].[Rep]" caption="Rep" attribute="1" defaultMemberUniqueName="[SalesOrders].[Rep].[All]" allUniqueName="[SalesOrders].[Rep].[All]" dimensionUniqueName="[SalesOrders]" displayFolder="" count="2" memberValueDatatype="130" unbalanced="0"/>
    <cacheHierarchy uniqueName="[SalesOrders].[Item]" caption="Item" attribute="1" defaultMemberUniqueName="[SalesOrders].[Item].[All]" allUniqueName="[SalesOrders].[Item].[All]" dimensionUniqueName="[SalesOrders]" displayFolder="" count="2" memberValueDatatype="130" unbalanced="0"/>
    <cacheHierarchy uniqueName="[SalesOrders].[Units]" caption="Units" attribute="1" defaultMemberUniqueName="[SalesOrders].[Units].[All]" allUniqueName="[SalesOrders].[Units].[All]" dimensionUniqueName="[SalesOrders]" displayFolder="" count="2" memberValueDatatype="20" unbalanced="0"/>
    <cacheHierarchy uniqueName="[SalesOrders].[Unit Cost]" caption="Unit Cost" attribute="1" defaultMemberUniqueName="[SalesOrders].[Unit Cost].[All]" allUniqueName="[SalesOrders].[Unit Cost].[All]" dimensionUniqueName="[SalesOrders]" displayFolder="" count="2" memberValueDatatype="5" unbalanced="0"/>
    <cacheHierarchy uniqueName="[SalesOrders].[Total]" caption="Total" attribute="1" defaultMemberUniqueName="[SalesOrders].[Total].[All]" allUniqueName="[SalesOrders].[Total].[All]" dimensionUniqueName="[SalesOrders]" displayFolder="" count="2"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fieldsUsage count="2">
        <fieldUsage x="-1"/>
        <fieldUsage x="2"/>
      </fieldsUsage>
    </cacheHierarchy>
    <cacheHierarchy uniqueName="[SalesOrders].[OrderDate (Quarter)]" caption="OrderDate (Quarter)" attribute="1" defaultMemberUniqueName="[SalesOrders].[OrderDate (Quarter)].[All]" allUniqueName="[SalesOrders].[OrderDate (Quarter)].[All]" dimensionUniqueName="[SalesOrders]" displayFolder="" count="2" memberValueDatatype="130" unbalanced="0"/>
    <cacheHierarchy uniqueName="[SalesOrders].[OrderDate (Month)]" caption="OrderDate (Month)" attribute="1" defaultMemberUniqueName="[SalesOrders].[OrderDate (Month)].[All]" allUniqueName="[SalesOrders].[OrderDate (Month)].[All]" dimensionUniqueName="[SalesOrders]" displayFolder="" count="2" memberValueDatatype="130" unbalanced="0">
      <fieldsUsage count="2">
        <fieldUsage x="-1"/>
        <fieldUsage x="0"/>
      </fieldsUsage>
    </cacheHierarchy>
    <cacheHierarchy uniqueName="[SalesOrders].[OrderDate (Month Index)]" caption="OrderDate (Month Index)" attribute="1" defaultMemberUniqueName="[SalesOrders].[OrderDate (Month Index)].[All]" allUniqueName="[SalesOrders].[OrderDate (Month Index)].[All]" dimensionUniqueName="[SalesOrders]" displayFolder="" count="2"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64583332" backgroundQuery="1" createdVersion="8" refreshedVersion="8" minRefreshableVersion="3" recordCount="0" supportSubquery="1" supportAdvancedDrill="1" xr:uid="{0CCD2967-61C7-4F07-AF6E-4ECA2AD9A9B8}">
  <cacheSource type="external" connectionId="2"/>
  <cacheFields count="3">
    <cacheField name="[SalesOrders].[Region].[Region]" caption="Region" numFmtId="0" hierarchy="1" level="1">
      <sharedItems count="3">
        <s v="Central"/>
        <s v="East"/>
        <s v="West"/>
      </sharedItems>
    </cacheField>
    <cacheField name="[Measures].[Sum of Total]" caption="Sum of Total" numFmtId="0" hierarchy="13" level="32767"/>
    <cacheField name="[SalesOrders].[OrderDate (Year)].[OrderDate (Year)]" caption="OrderDate (Year)" numFmtId="0" hierarchy="7" level="1">
      <sharedItems containsSemiMixedTypes="0" containsNonDate="0" containsString="0"/>
    </cacheField>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2" memberValueDatatype="130" unbalanced="0">
      <fieldsUsage count="2">
        <fieldUsage x="-1"/>
        <fieldUsage x="0"/>
      </fieldsUsage>
    </cacheHierarchy>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0" memberValueDatatype="130" unbalanced="0"/>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fieldsUsage count="2">
        <fieldUsage x="-1"/>
        <fieldUsage x="2"/>
      </fieldsUsage>
    </cacheHierarchy>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64930555" backgroundQuery="1" createdVersion="8" refreshedVersion="8" minRefreshableVersion="3" recordCount="0" supportSubquery="1" supportAdvancedDrill="1" xr:uid="{422EA558-94AF-4B99-B789-70A2500C04B8}">
  <cacheSource type="external" connectionId="2"/>
  <cacheFields count="2">
    <cacheField name="[Measures].[Distinct Count of Region]" caption="Distinct Count of Region" numFmtId="0" hierarchy="19" level="32767"/>
    <cacheField name="[SalesOrders].[OrderDate (Year)].[OrderDate (Year)]" caption="OrderDate (Year)" numFmtId="0" hierarchy="7" level="1">
      <sharedItems containsSemiMixedTypes="0" containsNonDate="0" containsString="0"/>
    </cacheField>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0" memberValueDatatype="130" unbalanced="0"/>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fieldsUsage count="2">
        <fieldUsage x="-1"/>
        <fieldUsage x="1"/>
      </fieldsUsage>
    </cacheHierarchy>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65277778" backgroundQuery="1" createdVersion="8" refreshedVersion="8" minRefreshableVersion="3" recordCount="0" supportSubquery="1" supportAdvancedDrill="1" xr:uid="{BF91C78C-3761-4146-94FF-9A98CF760517}">
  <cacheSource type="external" connectionId="2"/>
  <cacheFields count="2">
    <cacheField name="[Measures].[Sum of Total]" caption="Sum of Total" numFmtId="0" hierarchy="13" level="32767"/>
    <cacheField name="[SalesOrders].[OrderDate (Year)].[OrderDate (Year)]" caption="OrderDate (Year)" numFmtId="0" hierarchy="7" level="1">
      <sharedItems containsSemiMixedTypes="0" containsNonDate="0" containsString="0"/>
    </cacheField>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0" memberValueDatatype="130" unbalanced="0"/>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fieldsUsage count="2">
        <fieldUsage x="-1"/>
        <fieldUsage x="1"/>
      </fieldsUsage>
    </cacheHierarchy>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65625001" backgroundQuery="1" createdVersion="8" refreshedVersion="8" minRefreshableVersion="3" recordCount="0" supportSubquery="1" supportAdvancedDrill="1" xr:uid="{48A8B95D-3C6E-4E80-BFA0-7FCBE99C9ACA}">
  <cacheSource type="external" connectionId="2"/>
  <cacheFields count="2">
    <cacheField name="[Measures].[Sum of Units]" caption="Sum of Units" numFmtId="0" hierarchy="14" level="32767"/>
    <cacheField name="[SalesOrders].[OrderDate (Year)].[OrderDate (Year)]" caption="OrderDate (Year)" numFmtId="0" hierarchy="7" level="1">
      <sharedItems containsSemiMixedTypes="0" containsNonDate="0" containsString="0"/>
    </cacheField>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0" memberValueDatatype="130" unbalanced="0"/>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fieldsUsage count="2">
        <fieldUsage x="-1"/>
        <fieldUsage x="1"/>
      </fieldsUsage>
    </cacheHierarchy>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65856479" backgroundQuery="1" createdVersion="8" refreshedVersion="8" minRefreshableVersion="3" recordCount="0" supportSubquery="1" supportAdvancedDrill="1" xr:uid="{90D7932B-8600-45B2-B2CA-5746354E32E2}">
  <cacheSource type="external" connectionId="2"/>
  <cacheFields count="2">
    <cacheField name="[Measures].[Average of Total]" caption="Average of Total" numFmtId="0" hierarchy="15" level="32767"/>
    <cacheField name="[SalesOrders].[OrderDate (Year)].[OrderDate (Year)]" caption="OrderDate (Year)" numFmtId="0" hierarchy="7" level="1">
      <sharedItems containsSemiMixedTypes="0" containsNonDate="0" containsString="0"/>
    </cacheField>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0" memberValueDatatype="130" unbalanced="0"/>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fieldsUsage count="2">
        <fieldUsage x="-1"/>
        <fieldUsage x="1"/>
      </fieldsUsage>
    </cacheHierarchy>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8666435186" backgroundQuery="1" createdVersion="8" refreshedVersion="8" minRefreshableVersion="3" recordCount="0" supportSubquery="1" supportAdvancedDrill="1" xr:uid="{36782D15-1067-4093-9D36-AFB91AB5608B}">
  <cacheSource type="external" connectionId="2"/>
  <cacheFields count="3">
    <cacheField name="[SalesOrders].[Item].[Item]" caption="Item" numFmtId="0" hierarchy="3" level="1">
      <sharedItems count="5">
        <s v="Binder"/>
        <s v="Desk"/>
        <s v="Pen"/>
        <s v="Pen Set"/>
        <s v="Pencil"/>
      </sharedItems>
    </cacheField>
    <cacheField name="[Measures].[Sum of Units]" caption="Sum of Units" numFmtId="0" hierarchy="14" level="32767"/>
    <cacheField name="[SalesOrders].[OrderDate (Year)].[OrderDate (Year)]" caption="OrderDate (Year)" numFmtId="0" hierarchy="7" level="1">
      <sharedItems containsSemiMixedTypes="0" containsNonDate="0" containsString="0"/>
    </cacheField>
  </cacheFields>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2" memberValueDatatype="130" unbalanced="0">
      <fieldsUsage count="2">
        <fieldUsage x="-1"/>
        <fieldUsage x="0"/>
      </fieldsUsage>
    </cacheHierarchy>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fieldsUsage count="2">
        <fieldUsage x="-1"/>
        <fieldUsage x="2"/>
      </fieldsUsage>
    </cacheHierarchy>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Orders" uniqueName="[SalesOrders]" caption="SalesOrders"/>
  </dimensions>
  <measureGroups count="1">
    <measureGroup name="SalesOrders" caption="Sales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141.873765509263" backgroundQuery="1" createdVersion="3" refreshedVersion="8" minRefreshableVersion="3" recordCount="0" supportSubquery="1" supportAdvancedDrill="1" xr:uid="{A02D4016-1707-4E50-96C7-4E001BD4B9C0}">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SalesOrders].[OrderDate]" caption="OrderDate" attribute="1" time="1" defaultMemberUniqueName="[SalesOrders].[OrderDate].[All]" allUniqueName="[SalesOrders].[OrderDate].[All]" dimensionUniqueName="[SalesOrders]" displayFolder="" count="0" memberValueDatatype="7" unbalanced="0"/>
    <cacheHierarchy uniqueName="[SalesOrders].[Region]" caption="Region" attribute="1" defaultMemberUniqueName="[SalesOrders].[Region].[All]" allUniqueName="[SalesOrders].[Region].[All]" dimensionUniqueName="[SalesOrders]" displayFolder="" count="0" memberValueDatatype="130" unbalanced="0"/>
    <cacheHierarchy uniqueName="[SalesOrders].[Rep]" caption="Rep" attribute="1" defaultMemberUniqueName="[SalesOrders].[Rep].[All]" allUniqueName="[SalesOrders].[Rep].[All]" dimensionUniqueName="[SalesOrders]" displayFolder="" count="0" memberValueDatatype="130" unbalanced="0"/>
    <cacheHierarchy uniqueName="[SalesOrders].[Item]" caption="Item" attribute="1" defaultMemberUniqueName="[SalesOrders].[Item].[All]" allUniqueName="[SalesOrders].[Item].[All]" dimensionUniqueName="[SalesOrders]" displayFolder="" count="0" memberValueDatatype="130" unbalanced="0"/>
    <cacheHierarchy uniqueName="[SalesOrders].[Units]" caption="Units" attribute="1" defaultMemberUniqueName="[SalesOrders].[Units].[All]" allUniqueName="[SalesOrders].[Units].[All]" dimensionUniqueName="[SalesOrders]" displayFolder="" count="0" memberValueDatatype="20" unbalanced="0"/>
    <cacheHierarchy uniqueName="[SalesOrders].[Unit Cost]" caption="Unit Cost" attribute="1" defaultMemberUniqueName="[SalesOrders].[Unit Cost].[All]" allUniqueName="[SalesOrders].[Unit Cost].[All]" dimensionUniqueName="[SalesOrders]" displayFolder="" count="0" memberValueDatatype="5" unbalanced="0"/>
    <cacheHierarchy uniqueName="[SalesOrders].[Total]" caption="Total" attribute="1" defaultMemberUniqueName="[SalesOrders].[Total].[All]" allUniqueName="[SalesOrders].[Total].[All]" dimensionUniqueName="[SalesOrders]" displayFolder="" count="0" memberValueDatatype="5" unbalanced="0"/>
    <cacheHierarchy uniqueName="[SalesOrders].[OrderDate (Year)]" caption="OrderDate (Year)" attribute="1" defaultMemberUniqueName="[SalesOrders].[OrderDate (Year)].[All]" allUniqueName="[SalesOrders].[OrderDate (Year)].[All]" dimensionUniqueName="[SalesOrders]" displayFolder="" count="2" memberValueDatatype="130" unbalanced="0"/>
    <cacheHierarchy uniqueName="[SalesOrders].[OrderDate (Quarter)]" caption="OrderDate (Quarter)" attribute="1" defaultMemberUniqueName="[SalesOrders].[OrderDate (Quarter)].[All]" allUniqueName="[SalesOrders].[OrderDate (Quarter)].[All]" dimensionUniqueName="[SalesOrders]" displayFolder="" count="0" memberValueDatatype="130" unbalanced="0"/>
    <cacheHierarchy uniqueName="[SalesOrders].[OrderDate (Month)]" caption="OrderDate (Month)" attribute="1" defaultMemberUniqueName="[SalesOrders].[OrderDate (Month)].[All]" allUniqueName="[SalesOrders].[OrderDate (Month)].[All]" dimensionUniqueName="[SalesOrders]" displayFolder="" count="0" memberValueDatatype="130" unbalanced="0"/>
    <cacheHierarchy uniqueName="[SalesOrders].[OrderDate (Month Index)]" caption="OrderDate (Month Index)" attribute="1" defaultMemberUniqueName="[SalesOrders].[OrderDate (Month Index)].[All]" allUniqueName="[SalesOrders].[OrderDate (Month Index)].[All]" dimensionUniqueName="[SalesOrders]" displayFolder="" count="0" memberValueDatatype="20" unbalanced="0" hidden="1"/>
    <cacheHierarchy uniqueName="[Measures].[__XL_Count SalesOrders]" caption="__XL_Count SalesOrders" measure="1" displayFolder="" measureGroup="SalesOrders" count="0" hidden="1"/>
    <cacheHierarchy uniqueName="[Measures].[__No measures defined]" caption="__No measures defined" measure="1" displayFolder="" count="0" hidden="1"/>
    <cacheHierarchy uniqueName="[Measures].[Sum of Total]" caption="Sum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SalesOrders" count="0" hidden="1">
      <extLst>
        <ext xmlns:x15="http://schemas.microsoft.com/office/spreadsheetml/2010/11/main" uri="{B97F6D7D-B522-45F9-BDA1-12C45D357490}">
          <x15:cacheHierarchy aggregatedColumn="4"/>
        </ext>
      </extLst>
    </cacheHierarchy>
    <cacheHierarchy uniqueName="[Measures].[Average of Total]" caption="Average of Total" measure="1" displayFolder="" measureGroup="SalesOrders" count="0" hidden="1">
      <extLst>
        <ext xmlns:x15="http://schemas.microsoft.com/office/spreadsheetml/2010/11/main" uri="{B97F6D7D-B522-45F9-BDA1-12C45D357490}">
          <x15:cacheHierarchy aggregatedColumn="6"/>
        </ext>
      </extLst>
    </cacheHierarchy>
    <cacheHierarchy uniqueName="[Measures].[Sum of Unit Cost]" caption="Sum of Unit Cost" measure="1" displayFolder="" measureGroup="SalesOrders" count="0" hidden="1">
      <extLst>
        <ext xmlns:x15="http://schemas.microsoft.com/office/spreadsheetml/2010/11/main" uri="{B97F6D7D-B522-45F9-BDA1-12C45D357490}">
          <x15:cacheHierarchy aggregatedColumn="5"/>
        </ext>
      </extLst>
    </cacheHierarchy>
    <cacheHierarchy uniqueName="[Measures].[Average of Unit Cost]" caption="Average of Unit Cost" measure="1" displayFolder="" measureGroup="SalesOrders"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SalesOrders" count="0" hidden="1">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SalesOrder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9275354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878FC-423D-4950-89F5-0A381D458D3B}" name="region" cacheId="4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Q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Region" fld="0" subtotal="count" baseField="0" baseItem="0">
      <extLst>
        <ext xmlns:x15="http://schemas.microsoft.com/office/spreadsheetml/2010/11/main" uri="{FABC7310-3BB5-11E1-824E-6D434824019B}">
          <x15:dataField isCountDistinct="1"/>
        </ext>
      </extLst>
    </dataField>
  </dataFields>
  <formats count="16">
    <format dxfId="1257">
      <pivotArea type="all" dataOnly="0" outline="0" fieldPosition="0"/>
    </format>
    <format dxfId="1258">
      <pivotArea outline="0" collapsedLevelsAreSubtotals="1" fieldPosition="0"/>
    </format>
    <format dxfId="1259">
      <pivotArea dataOnly="0" labelOnly="1" outline="0" axis="axisValues" fieldPosition="0"/>
    </format>
    <format dxfId="1260">
      <pivotArea type="all" dataOnly="0" outline="0" fieldPosition="0"/>
    </format>
    <format dxfId="1261">
      <pivotArea outline="0" collapsedLevelsAreSubtotals="1" fieldPosition="0"/>
    </format>
    <format dxfId="1262">
      <pivotArea dataOnly="0" labelOnly="1" outline="0" axis="axisValues" fieldPosition="0"/>
    </format>
    <format dxfId="1263">
      <pivotArea dataOnly="0" labelOnly="1" outline="0" axis="axisValues" fieldPosition="0"/>
    </format>
    <format dxfId="1264">
      <pivotArea dataOnly="0" labelOnly="1" outline="0" axis="axisValues" fieldPosition="0"/>
    </format>
    <format dxfId="1265">
      <pivotArea outline="0" collapsedLevelsAreSubtotals="1" fieldPosition="0"/>
    </format>
    <format dxfId="1266">
      <pivotArea outline="0" collapsedLevelsAreSubtotals="1" fieldPosition="0"/>
    </format>
    <format dxfId="1267">
      <pivotArea outline="0" collapsedLevelsAreSubtotals="1" fieldPosition="0"/>
    </format>
    <format dxfId="1268">
      <pivotArea outline="0" collapsedLevelsAreSubtotals="1" fieldPosition="0"/>
    </format>
    <format dxfId="1269">
      <pivotArea outline="0" collapsedLevelsAreSubtotals="1" fieldPosition="0"/>
    </format>
    <format dxfId="1270">
      <pivotArea outline="0" collapsedLevelsAreSubtotals="1" fieldPosition="0"/>
    </format>
    <format dxfId="1271">
      <pivotArea outline="0" collapsedLevelsAreSubtotals="1" fieldPosition="0"/>
    </format>
    <format dxfId="1036">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Average Order Value"/>
    <pivotHierarchy dragToData="1" caption="Average Order Value"/>
    <pivotHierarchy dragToData="1"/>
    <pivotHierarchy dragToData="1"/>
    <pivotHierarchy dragToData="1"/>
    <pivotHierarchy dragToData="1" caption=" Reg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FD20E-0FB0-4F62-9122-5192679A996D}" name="corr" cacheId="1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rowHeaderCaption="item">
  <location ref="A69:C7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Average of Unit Cost" fld="1" subtotal="average" baseField="0" baseItem="0"/>
    <dataField name="Sum of Total" fld="2" baseField="0" baseItem="0"/>
  </dataFields>
  <formats count="6">
    <format dxfId="1275">
      <pivotArea dataOnly="0" labelOnly="1" outline="0" axis="axisValues" fieldPosition="0"/>
    </format>
    <format dxfId="1276">
      <pivotArea grandRow="1" outline="0" collapsedLevelsAreSubtotals="1" fieldPosition="0"/>
    </format>
    <format dxfId="1277">
      <pivotArea dataOnly="0" labelOnly="1" grandRow="1" outline="0" fieldPosition="0"/>
    </format>
    <format dxfId="1274">
      <pivotArea field="0" type="button" dataOnly="0" labelOnly="1" outline="0" axis="axisRow" fieldPosition="0"/>
    </format>
    <format dxfId="1273">
      <pivotArea dataOnly="0" labelOnly="1" outline="0" fieldPosition="0">
        <references count="1">
          <reference field="4294967294" count="1">
            <x v="0"/>
          </reference>
        </references>
      </pivotArea>
    </format>
    <format dxfId="1272">
      <pivotArea dataOnly="0" labelOnly="1" outline="0" fieldPosition="0">
        <references count="1">
          <reference field="4294967294" count="1">
            <x v="1"/>
          </reference>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Units Sold "/>
    <pivotHierarchy dragToData="1"/>
    <pivotHierarchy dragToData="1"/>
    <pivotHierarchy dragToData="1" caption="Average of Unit Cost"/>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71C74-6ABF-46EA-8530-98AD97AE9193}" name="Month vs sales" cacheId="4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rowHeaderCaption="Month">
  <location ref="A50:B6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ales" fld="1" baseField="0" baseItem="0"/>
  </dataFields>
  <formats count="4">
    <format dxfId="1279">
      <pivotArea dataOnly="0" labelOnly="1" outline="0" axis="axisValues" fieldPosition="0"/>
    </format>
    <format dxfId="1280">
      <pivotArea grandRow="1" outline="0" collapsedLevelsAreSubtotals="1" fieldPosition="0"/>
    </format>
    <format dxfId="1281">
      <pivotArea dataOnly="0" labelOnly="1" grandRow="1" outline="0" fieldPosition="0"/>
    </format>
    <format dxfId="1278">
      <pivotArea field="0" type="button" dataOnly="0" labelOnly="1" outline="0" axis="axisRow" fieldPosition="0"/>
    </format>
  </formats>
  <chartFormats count="2">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Units Sold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6F636-227E-46B2-AD00-B61013BA1A69}" name="item vs units" cacheId="4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rowHeaderCaption="items">
  <location ref="A37:B43"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Units Sold " fld="1" baseField="0" baseItem="0"/>
  </dataFields>
  <formats count="4">
    <format dxfId="1283">
      <pivotArea dataOnly="0" labelOnly="1" outline="0" axis="axisValues" fieldPosition="0"/>
    </format>
    <format dxfId="1284">
      <pivotArea grandRow="1" outline="0" collapsedLevelsAreSubtotals="1" fieldPosition="0"/>
    </format>
    <format dxfId="1285">
      <pivotArea dataOnly="0" labelOnly="1" grandRow="1" outline="0" fieldPosition="0"/>
    </format>
    <format dxfId="1282">
      <pivotArea field="0" type="button" dataOnly="0" labelOnly="1" outline="0" axis="axisRow" fieldPosition="0"/>
    </format>
  </formats>
  <chartFormats count="11">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0" count="1" selected="0">
            <x v="4"/>
          </reference>
        </references>
      </pivotArea>
    </chartFormat>
    <chartFormat chart="20" format="2">
      <pivotArea type="data" outline="0" fieldPosition="0">
        <references count="2">
          <reference field="4294967294" count="1" selected="0">
            <x v="0"/>
          </reference>
          <reference field="0" count="1" selected="0">
            <x v="3"/>
          </reference>
        </references>
      </pivotArea>
    </chartFormat>
    <chartFormat chart="20" format="3">
      <pivotArea type="data" outline="0" fieldPosition="0">
        <references count="2">
          <reference field="4294967294" count="1" selected="0">
            <x v="0"/>
          </reference>
          <reference field="0" count="1" selected="0">
            <x v="0"/>
          </reference>
        </references>
      </pivotArea>
    </chartFormat>
    <chartFormat chart="20" format="4">
      <pivotArea type="data" outline="0" fieldPosition="0">
        <references count="2">
          <reference field="4294967294" count="1" selected="0">
            <x v="0"/>
          </reference>
          <reference field="0" count="1" selected="0">
            <x v="1"/>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0" count="1" selected="0">
            <x v="0"/>
          </reference>
        </references>
      </pivotArea>
    </chartFormat>
    <chartFormat chart="24" format="13">
      <pivotArea type="data" outline="0" fieldPosition="0">
        <references count="2">
          <reference field="4294967294" count="1" selected="0">
            <x v="0"/>
          </reference>
          <reference field="0" count="1" selected="0">
            <x v="1"/>
          </reference>
        </references>
      </pivotArea>
    </chartFormat>
    <chartFormat chart="24" format="14">
      <pivotArea type="data" outline="0" fieldPosition="0">
        <references count="2">
          <reference field="4294967294" count="1" selected="0">
            <x v="0"/>
          </reference>
          <reference field="0" count="1" selected="0">
            <x v="2"/>
          </reference>
        </references>
      </pivotArea>
    </chartFormat>
    <chartFormat chart="24" format="15">
      <pivotArea type="data" outline="0" fieldPosition="0">
        <references count="2">
          <reference field="4294967294" count="1" selected="0">
            <x v="0"/>
          </reference>
          <reference field="0" count="1" selected="0">
            <x v="3"/>
          </reference>
        </references>
      </pivotArea>
    </chartFormat>
    <chartFormat chart="24" format="16">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Units Sold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78F8F7-B8E2-490F-9607-CA8D2A15B644}" name="rep vs sales"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epresentative">
  <location ref="A16:B28" firstHeaderRow="1" firstDataRow="1" firstDataCol="1"/>
  <pivotFields count="2">
    <pivotField dataField="1" subtotalTop="0" showAll="0" defaultSubtotal="0"/>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1"/>
  </rowFields>
  <rowItems count="12">
    <i>
      <x v="5"/>
    </i>
    <i>
      <x v="7"/>
    </i>
    <i>
      <x v="3"/>
    </i>
    <i>
      <x v="4"/>
    </i>
    <i>
      <x v="1"/>
    </i>
    <i>
      <x v="8"/>
    </i>
    <i>
      <x v="6"/>
    </i>
    <i>
      <x v="9"/>
    </i>
    <i>
      <x v="10"/>
    </i>
    <i>
      <x v="2"/>
    </i>
    <i>
      <x/>
    </i>
    <i t="grand">
      <x/>
    </i>
  </rowItems>
  <colItems count="1">
    <i/>
  </colItems>
  <dataFields count="1">
    <dataField name="Revenue" fld="0" baseField="0" baseItem="0"/>
  </dataFields>
  <formats count="8">
    <format dxfId="1291">
      <pivotArea dataOnly="0" labelOnly="1" outline="0" axis="axisValues" fieldPosition="0"/>
    </format>
    <format dxfId="1292">
      <pivotArea grandRow="1" outline="0" collapsedLevelsAreSubtotals="1" fieldPosition="0"/>
    </format>
    <format dxfId="1293">
      <pivotArea dataOnly="0" labelOnly="1" grandRow="1" outline="0" fieldPosition="0"/>
    </format>
    <format dxfId="1290">
      <pivotArea field="1" type="button" dataOnly="0" labelOnly="1" outline="0" axis="axisRow" fieldPosition="0"/>
    </format>
    <format dxfId="1289">
      <pivotArea collapsedLevelsAreSubtotals="1" fieldPosition="0">
        <references count="1">
          <reference field="1" count="0"/>
        </references>
      </pivotArea>
    </format>
    <format dxfId="1288">
      <pivotArea dataOnly="0" labelOnly="1" fieldPosition="0">
        <references count="1">
          <reference field="1" count="0"/>
        </references>
      </pivotArea>
    </format>
    <format dxfId="1287">
      <pivotArea collapsedLevelsAreSubtotals="1" fieldPosition="0">
        <references count="1">
          <reference field="1" count="0"/>
        </references>
      </pivotArea>
    </format>
    <format dxfId="1286">
      <pivotArea dataOnly="0" labelOnly="1" fieldPosition="0">
        <references count="1">
          <reference field="1" count="0"/>
        </references>
      </pivotArea>
    </format>
  </formats>
  <chartFormats count="2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2"/>
          </reference>
        </references>
      </pivotArea>
    </chartFormat>
    <chartFormat chart="14" format="3">
      <pivotArea type="data" outline="0" fieldPosition="0">
        <references count="2">
          <reference field="4294967294" count="1" selected="0">
            <x v="0"/>
          </reference>
          <reference field="1" count="1" selected="0">
            <x v="10"/>
          </reference>
        </references>
      </pivotArea>
    </chartFormat>
    <chartFormat chart="14" format="4">
      <pivotArea type="data" outline="0" fieldPosition="0">
        <references count="2">
          <reference field="4294967294" count="1" selected="0">
            <x v="0"/>
          </reference>
          <reference field="1" count="1" selected="0">
            <x v="9"/>
          </reference>
        </references>
      </pivotArea>
    </chartFormat>
    <chartFormat chart="14" format="5">
      <pivotArea type="data" outline="0" fieldPosition="0">
        <references count="2">
          <reference field="4294967294" count="1" selected="0">
            <x v="0"/>
          </reference>
          <reference field="1" count="1" selected="0">
            <x v="6"/>
          </reference>
        </references>
      </pivotArea>
    </chartFormat>
    <chartFormat chart="14" format="6">
      <pivotArea type="data" outline="0" fieldPosition="0">
        <references count="2">
          <reference field="4294967294" count="1" selected="0">
            <x v="0"/>
          </reference>
          <reference field="1" count="1" selected="0">
            <x v="8"/>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4"/>
          </reference>
        </references>
      </pivotArea>
    </chartFormat>
    <chartFormat chart="14" format="9">
      <pivotArea type="data" outline="0" fieldPosition="0">
        <references count="2">
          <reference field="4294967294" count="1" selected="0">
            <x v="0"/>
          </reference>
          <reference field="1" count="1" selected="0">
            <x v="3"/>
          </reference>
        </references>
      </pivotArea>
    </chartFormat>
    <chartFormat chart="14" format="10">
      <pivotArea type="data" outline="0" fieldPosition="0">
        <references count="2">
          <reference field="4294967294" count="1" selected="0">
            <x v="0"/>
          </reference>
          <reference field="1" count="1" selected="0">
            <x v="7"/>
          </reference>
        </references>
      </pivotArea>
    </chartFormat>
    <chartFormat chart="14" format="11">
      <pivotArea type="data" outline="0" fieldPosition="0">
        <references count="2">
          <reference field="4294967294" count="1" selected="0">
            <x v="0"/>
          </reference>
          <reference field="1" count="1" selected="0">
            <x v="5"/>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1" count="1" selected="0">
            <x v="5"/>
          </reference>
        </references>
      </pivotArea>
    </chartFormat>
    <chartFormat chart="18" format="26">
      <pivotArea type="data" outline="0" fieldPosition="0">
        <references count="2">
          <reference field="4294967294" count="1" selected="0">
            <x v="0"/>
          </reference>
          <reference field="1" count="1" selected="0">
            <x v="7"/>
          </reference>
        </references>
      </pivotArea>
    </chartFormat>
    <chartFormat chart="18" format="27">
      <pivotArea type="data" outline="0" fieldPosition="0">
        <references count="2">
          <reference field="4294967294" count="1" selected="0">
            <x v="0"/>
          </reference>
          <reference field="1" count="1" selected="0">
            <x v="3"/>
          </reference>
        </references>
      </pivotArea>
    </chartFormat>
    <chartFormat chart="18" format="28">
      <pivotArea type="data" outline="0" fieldPosition="0">
        <references count="2">
          <reference field="4294967294" count="1" selected="0">
            <x v="0"/>
          </reference>
          <reference field="1" count="1" selected="0">
            <x v="4"/>
          </reference>
        </references>
      </pivotArea>
    </chartFormat>
    <chartFormat chart="18" format="29">
      <pivotArea type="data" outline="0" fieldPosition="0">
        <references count="2">
          <reference field="4294967294" count="1" selected="0">
            <x v="0"/>
          </reference>
          <reference field="1" count="1" selected="0">
            <x v="1"/>
          </reference>
        </references>
      </pivotArea>
    </chartFormat>
    <chartFormat chart="18" format="30">
      <pivotArea type="data" outline="0" fieldPosition="0">
        <references count="2">
          <reference field="4294967294" count="1" selected="0">
            <x v="0"/>
          </reference>
          <reference field="1" count="1" selected="0">
            <x v="8"/>
          </reference>
        </references>
      </pivotArea>
    </chartFormat>
    <chartFormat chart="18" format="31">
      <pivotArea type="data" outline="0" fieldPosition="0">
        <references count="2">
          <reference field="4294967294" count="1" selected="0">
            <x v="0"/>
          </reference>
          <reference field="1" count="1" selected="0">
            <x v="6"/>
          </reference>
        </references>
      </pivotArea>
    </chartFormat>
    <chartFormat chart="18" format="32">
      <pivotArea type="data" outline="0" fieldPosition="0">
        <references count="2">
          <reference field="4294967294" count="1" selected="0">
            <x v="0"/>
          </reference>
          <reference field="1" count="1" selected="0">
            <x v="9"/>
          </reference>
        </references>
      </pivotArea>
    </chartFormat>
    <chartFormat chart="18" format="33">
      <pivotArea type="data" outline="0" fieldPosition="0">
        <references count="2">
          <reference field="4294967294" count="1" selected="0">
            <x v="0"/>
          </reference>
          <reference field="1" count="1" selected="0">
            <x v="10"/>
          </reference>
        </references>
      </pivotArea>
    </chartFormat>
    <chartFormat chart="18" format="34">
      <pivotArea type="data" outline="0" fieldPosition="0">
        <references count="2">
          <reference field="4294967294" count="1" selected="0">
            <x v="0"/>
          </reference>
          <reference field="1" count="1" selected="0">
            <x v="2"/>
          </reference>
        </references>
      </pivotArea>
    </chartFormat>
    <chartFormat chart="18" format="35">
      <pivotArea type="data" outline="0" fieldPosition="0">
        <references count="2">
          <reference field="4294967294" count="1" selected="0">
            <x v="0"/>
          </reference>
          <reference field="1"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5ADFC4-E495-40DA-9B62-6949028B4C90}" name="aov" cacheId="4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O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rder Value" fld="0" subtotal="average" baseField="0" baseItem="0" numFmtId="2"/>
  </dataFields>
  <formats count="16">
    <format dxfId="1309">
      <pivotArea type="all" dataOnly="0" outline="0" fieldPosition="0"/>
    </format>
    <format dxfId="1308">
      <pivotArea outline="0" collapsedLevelsAreSubtotals="1" fieldPosition="0"/>
    </format>
    <format dxfId="1307">
      <pivotArea dataOnly="0" labelOnly="1" outline="0" axis="axisValues" fieldPosition="0"/>
    </format>
    <format dxfId="1306">
      <pivotArea type="all" dataOnly="0" outline="0" fieldPosition="0"/>
    </format>
    <format dxfId="1305">
      <pivotArea outline="0" collapsedLevelsAreSubtotals="1" fieldPosition="0"/>
    </format>
    <format dxfId="1304">
      <pivotArea dataOnly="0" labelOnly="1" outline="0" axis="axisValues" fieldPosition="0"/>
    </format>
    <format dxfId="1303">
      <pivotArea dataOnly="0" labelOnly="1" outline="0" axis="axisValues" fieldPosition="0"/>
    </format>
    <format dxfId="1302">
      <pivotArea dataOnly="0" labelOnly="1" outline="0" axis="axisValues" fieldPosition="0"/>
    </format>
    <format dxfId="1301">
      <pivotArea outline="0" collapsedLevelsAreSubtotals="1" fieldPosition="0"/>
    </format>
    <format dxfId="1300">
      <pivotArea outline="0" collapsedLevelsAreSubtotals="1" fieldPosition="0"/>
    </format>
    <format dxfId="1299">
      <pivotArea outline="0" collapsedLevelsAreSubtotals="1" fieldPosition="0"/>
    </format>
    <format dxfId="1298">
      <pivotArea outline="0" collapsedLevelsAreSubtotals="1" fieldPosition="0"/>
    </format>
    <format dxfId="1297">
      <pivotArea outline="0" collapsedLevelsAreSubtotals="1" fieldPosition="0"/>
    </format>
    <format dxfId="1296">
      <pivotArea outline="0" collapsedLevelsAreSubtotals="1" fieldPosition="0"/>
    </format>
    <format dxfId="1295">
      <pivotArea outline="0" collapsedLevelsAreSubtotals="1" fieldPosition="0"/>
    </format>
    <format dxfId="1294">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Average Order Value"/>
    <pivotHierarchy dragToData="1" caption="Average Order Val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F8675E-7D9D-4B28-A711-D348081398B8}" name="unit sold" cacheId="4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M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Sold" fld="0" baseField="0" baseItem="0"/>
  </dataFields>
  <formats count="9">
    <format dxfId="1318">
      <pivotArea type="all" dataOnly="0" outline="0" fieldPosition="0"/>
    </format>
    <format dxfId="1317">
      <pivotArea outline="0" collapsedLevelsAreSubtotals="1" fieldPosition="0"/>
    </format>
    <format dxfId="1316">
      <pivotArea dataOnly="0" labelOnly="1" outline="0" axis="axisValues" fieldPosition="0"/>
    </format>
    <format dxfId="1315">
      <pivotArea type="all" dataOnly="0" outline="0" fieldPosition="0"/>
    </format>
    <format dxfId="1314">
      <pivotArea outline="0" collapsedLevelsAreSubtotals="1" fieldPosition="0"/>
    </format>
    <format dxfId="1313">
      <pivotArea dataOnly="0" labelOnly="1" outline="0" axis="axisValues" fieldPosition="0"/>
    </format>
    <format dxfId="1312">
      <pivotArea dataOnly="0" labelOnly="1" outline="0" axis="axisValues" fieldPosition="0"/>
    </format>
    <format dxfId="1311">
      <pivotArea dataOnly="0" labelOnly="1" outline="0" axis="axisValues" fieldPosition="0"/>
    </format>
    <format dxfId="1310">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F25FFF-0992-4123-9B53-815A26179591}" name="total rev" cacheId="4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9">
    <format dxfId="1327">
      <pivotArea type="all" dataOnly="0" outline="0" fieldPosition="0"/>
    </format>
    <format dxfId="1326">
      <pivotArea outline="0" collapsedLevelsAreSubtotals="1" fieldPosition="0"/>
    </format>
    <format dxfId="1325">
      <pivotArea dataOnly="0" labelOnly="1" outline="0" axis="axisValues" fieldPosition="0"/>
    </format>
    <format dxfId="1324">
      <pivotArea type="all" dataOnly="0" outline="0" fieldPosition="0"/>
    </format>
    <format dxfId="1323">
      <pivotArea outline="0" collapsedLevelsAreSubtotals="1" fieldPosition="0"/>
    </format>
    <format dxfId="1322">
      <pivotArea dataOnly="0" labelOnly="1" outline="0" axis="axisValues" fieldPosition="0"/>
    </format>
    <format dxfId="1321">
      <pivotArea dataOnly="0" labelOnly="1" outline="0" axis="axisValues" fieldPosition="0"/>
    </format>
    <format dxfId="1320">
      <pivotArea dataOnly="0" labelOnly="1" outline="0" axis="axisValues" fieldPosition="0"/>
    </format>
    <format dxfId="1319">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52C8F3-B279-4480-9CB9-3E309CA45068}" name="ergon vs sales" cacheId="4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A4:B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Revenue" fld="1" baseField="0" baseItem="0"/>
  </dataFields>
  <formats count="6">
    <format dxfId="1333">
      <pivotArea field="0" type="button" dataOnly="0" labelOnly="1" outline="0" axis="axisRow" fieldPosition="0"/>
    </format>
    <format dxfId="1332">
      <pivotArea dataOnly="0" labelOnly="1" outline="0" axis="axisValues" fieldPosition="0"/>
    </format>
    <format dxfId="1331">
      <pivotArea grandRow="1" outline="0" collapsedLevelsAreSubtotals="1" fieldPosition="0"/>
    </format>
    <format dxfId="1330">
      <pivotArea dataOnly="0" labelOnly="1" grandRow="1" outline="0" fieldPosition="0"/>
    </format>
    <format dxfId="1329">
      <pivotArea collapsedLevelsAreSubtotals="1" fieldPosition="0">
        <references count="1">
          <reference field="0" count="0"/>
        </references>
      </pivotArea>
    </format>
    <format dxfId="1328">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2"/>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D614A2B6-9BBB-439D-BE0B-2059EEF73706}" sourceName="[SalesOrders].[OrderDate (Year)]">
  <pivotTables>
    <pivotTable tabId="1" name="Month vs sales"/>
    <pivotTable tabId="1" name="ergon vs sales"/>
    <pivotTable tabId="1" name="region"/>
    <pivotTable tabId="1" name="total rev"/>
    <pivotTable tabId="1" name="unit sold"/>
    <pivotTable tabId="1" name="aov"/>
    <pivotTable tabId="1" name="item vs units"/>
  </pivotTables>
  <data>
    <olap pivotCacheId="1927535442">
      <levels count="2">
        <level uniqueName="[SalesOrders].[OrderDate (Year)].[(All)]" sourceCaption="(All)" count="0"/>
        <level uniqueName="[SalesOrders].[OrderDate (Year)].[OrderDate (Year)]" sourceCaption="OrderDate (Year)" count="2">
          <ranges>
            <range startItem="0">
              <i n="[SalesOrders].[OrderDate (Year)].&amp;[2024]" c="2024"/>
              <i n="[SalesOrders].[OrderDate (Year)].&amp;[2025]" c="2025"/>
            </range>
          </ranges>
        </level>
      </levels>
      <selections count="1">
        <selection n="[SalesOrders].[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B54B58A0-7E84-447A-91D8-DD2711449897}" cache="Slicer_OrderDate__Year" caption="Year" columnCount="2" level="1" style="SlicerStyleOther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5"/>
  <sheetViews>
    <sheetView topLeftCell="A44" zoomScale="55" zoomScaleNormal="55" workbookViewId="0">
      <selection activeCell="AF10" sqref="AF10"/>
    </sheetView>
  </sheetViews>
  <sheetFormatPr defaultRowHeight="14.4" x14ac:dyDescent="0.3"/>
  <cols>
    <col min="1" max="1" width="10.88671875" bestFit="1" customWidth="1"/>
    <col min="2" max="2" width="9.88671875" bestFit="1" customWidth="1"/>
    <col min="3" max="3" width="11.6640625" bestFit="1" customWidth="1"/>
    <col min="9" max="9" width="8.88671875" style="1"/>
    <col min="11" max="11" width="13.109375" bestFit="1" customWidth="1"/>
    <col min="13" max="13" width="14.33203125" bestFit="1" customWidth="1"/>
    <col min="15" max="15" width="18.77734375" bestFit="1" customWidth="1"/>
    <col min="17" max="17" width="7.21875" bestFit="1" customWidth="1"/>
  </cols>
  <sheetData>
    <row r="1" spans="1:17" x14ac:dyDescent="0.3">
      <c r="A1" s="8" t="s">
        <v>6</v>
      </c>
      <c r="B1" s="8"/>
      <c r="C1" s="8"/>
      <c r="D1" s="8"/>
      <c r="E1" s="8"/>
      <c r="F1" s="8"/>
      <c r="G1" s="8"/>
      <c r="K1" s="8" t="s">
        <v>7</v>
      </c>
      <c r="L1" s="8"/>
      <c r="M1" s="8"/>
      <c r="N1" s="8"/>
      <c r="O1" s="8"/>
      <c r="P1" s="8"/>
      <c r="Q1" s="8"/>
    </row>
    <row r="2" spans="1:17" x14ac:dyDescent="0.3">
      <c r="A2" s="8"/>
      <c r="B2" s="8"/>
      <c r="C2" s="8"/>
      <c r="D2" s="8"/>
      <c r="E2" s="8"/>
      <c r="F2" s="8"/>
      <c r="G2" s="8"/>
      <c r="K2" s="8"/>
      <c r="L2" s="8"/>
      <c r="M2" s="8"/>
      <c r="N2" s="8"/>
      <c r="O2" s="8"/>
      <c r="P2" s="8"/>
      <c r="Q2" s="8"/>
    </row>
    <row r="4" spans="1:17" x14ac:dyDescent="0.3">
      <c r="A4" s="2" t="s">
        <v>5</v>
      </c>
      <c r="B4" s="2" t="s">
        <v>4</v>
      </c>
      <c r="K4" s="2" t="s">
        <v>8</v>
      </c>
      <c r="M4" s="2" t="s">
        <v>9</v>
      </c>
      <c r="O4" s="2" t="s">
        <v>10</v>
      </c>
      <c r="Q4" s="2" t="s">
        <v>47</v>
      </c>
    </row>
    <row r="5" spans="1:17" x14ac:dyDescent="0.3">
      <c r="A5" s="4" t="s">
        <v>0</v>
      </c>
      <c r="B5" s="14">
        <v>11139.069999999998</v>
      </c>
      <c r="K5" s="15">
        <v>19627.880000000008</v>
      </c>
      <c r="M5" s="15">
        <v>2121</v>
      </c>
      <c r="O5" s="6">
        <v>456.46232558139553</v>
      </c>
      <c r="Q5" s="15">
        <v>3</v>
      </c>
    </row>
    <row r="6" spans="1:17" x14ac:dyDescent="0.3">
      <c r="A6" s="4" t="s">
        <v>1</v>
      </c>
      <c r="B6" s="14">
        <v>6002.09</v>
      </c>
      <c r="K6" s="3">
        <f>GETPIVOTDATA("[Measures].[Sum of Total]",$K$4)</f>
        <v>19627.880000000008</v>
      </c>
      <c r="M6" s="3">
        <f>GETPIVOTDATA("[Measures].[Sum of Units]",$M$4)</f>
        <v>2121</v>
      </c>
      <c r="O6" s="6">
        <f>GETPIVOTDATA("[Measures].[Average of Total]",$O$4)</f>
        <v>456.46232558139553</v>
      </c>
      <c r="Q6" s="15">
        <f>GETPIVOTDATA("[Measures].[Distinct Count of Region]",$Q$4)</f>
        <v>3</v>
      </c>
    </row>
    <row r="7" spans="1:17" ht="15" x14ac:dyDescent="0.3">
      <c r="A7" s="4" t="s">
        <v>2</v>
      </c>
      <c r="B7" s="14">
        <v>2486.7199999999998</v>
      </c>
      <c r="K7" s="5"/>
    </row>
    <row r="8" spans="1:17" x14ac:dyDescent="0.3">
      <c r="A8" s="2" t="s">
        <v>3</v>
      </c>
      <c r="B8" s="10">
        <v>19627.880000000008</v>
      </c>
    </row>
    <row r="16" spans="1:17" x14ac:dyDescent="0.3">
      <c r="A16" s="2" t="s">
        <v>22</v>
      </c>
      <c r="B16" s="2" t="s">
        <v>4</v>
      </c>
    </row>
    <row r="17" spans="1:2" ht="15" x14ac:dyDescent="0.3">
      <c r="A17" s="12" t="s">
        <v>16</v>
      </c>
      <c r="B17" s="13">
        <v>3109.44</v>
      </c>
    </row>
    <row r="18" spans="1:2" ht="15" x14ac:dyDescent="0.3">
      <c r="A18" s="12" t="s">
        <v>18</v>
      </c>
      <c r="B18" s="13">
        <v>3102.2999999999997</v>
      </c>
    </row>
    <row r="19" spans="1:2" ht="15" x14ac:dyDescent="0.3">
      <c r="A19" s="12" t="s">
        <v>14</v>
      </c>
      <c r="B19" s="13">
        <v>2812.19</v>
      </c>
    </row>
    <row r="20" spans="1:2" ht="15" x14ac:dyDescent="0.3">
      <c r="A20" s="12" t="s">
        <v>15</v>
      </c>
      <c r="B20" s="13">
        <v>2363.04</v>
      </c>
    </row>
    <row r="21" spans="1:2" ht="15" x14ac:dyDescent="0.3">
      <c r="A21" s="12" t="s">
        <v>12</v>
      </c>
      <c r="B21" s="13">
        <v>1749.8700000000001</v>
      </c>
    </row>
    <row r="22" spans="1:2" ht="15" x14ac:dyDescent="0.3">
      <c r="A22" s="12" t="s">
        <v>19</v>
      </c>
      <c r="B22" s="13">
        <v>1641.43</v>
      </c>
    </row>
    <row r="23" spans="1:2" ht="15" x14ac:dyDescent="0.3">
      <c r="A23" s="12" t="s">
        <v>17</v>
      </c>
      <c r="B23" s="13">
        <v>1387.77</v>
      </c>
    </row>
    <row r="24" spans="1:2" ht="15" x14ac:dyDescent="0.3">
      <c r="A24" s="12" t="s">
        <v>20</v>
      </c>
      <c r="B24" s="13">
        <v>1283.6099999999999</v>
      </c>
    </row>
    <row r="25" spans="1:2" ht="15" x14ac:dyDescent="0.3">
      <c r="A25" s="12" t="s">
        <v>21</v>
      </c>
      <c r="B25" s="13">
        <v>1203.1099999999999</v>
      </c>
    </row>
    <row r="26" spans="1:2" ht="15" x14ac:dyDescent="0.3">
      <c r="A26" s="12" t="s">
        <v>13</v>
      </c>
      <c r="B26" s="13">
        <v>536.75</v>
      </c>
    </row>
    <row r="27" spans="1:2" ht="15" x14ac:dyDescent="0.3">
      <c r="A27" s="12" t="s">
        <v>11</v>
      </c>
      <c r="B27" s="13">
        <v>438.37</v>
      </c>
    </row>
    <row r="28" spans="1:2" x14ac:dyDescent="0.3">
      <c r="A28" s="2" t="s">
        <v>3</v>
      </c>
      <c r="B28" s="10">
        <v>19627.880000000008</v>
      </c>
    </row>
    <row r="37" spans="1:2" x14ac:dyDescent="0.3">
      <c r="A37" s="2" t="s">
        <v>29</v>
      </c>
      <c r="B37" s="2" t="s">
        <v>28</v>
      </c>
    </row>
    <row r="38" spans="1:2" x14ac:dyDescent="0.3">
      <c r="A38" s="11" t="s">
        <v>23</v>
      </c>
      <c r="B38" s="9">
        <v>722</v>
      </c>
    </row>
    <row r="39" spans="1:2" ht="15" x14ac:dyDescent="0.3">
      <c r="A39" s="11" t="s">
        <v>24</v>
      </c>
      <c r="B39" s="9">
        <v>10</v>
      </c>
    </row>
    <row r="40" spans="1:2" ht="15" x14ac:dyDescent="0.3">
      <c r="A40" s="11" t="s">
        <v>25</v>
      </c>
      <c r="B40" s="9">
        <v>278</v>
      </c>
    </row>
    <row r="41" spans="1:2" ht="15" x14ac:dyDescent="0.3">
      <c r="A41" s="11" t="s">
        <v>26</v>
      </c>
      <c r="B41" s="9">
        <v>395</v>
      </c>
    </row>
    <row r="42" spans="1:2" ht="15" x14ac:dyDescent="0.3">
      <c r="A42" s="11" t="s">
        <v>27</v>
      </c>
      <c r="B42" s="9">
        <v>716</v>
      </c>
    </row>
    <row r="43" spans="1:2" x14ac:dyDescent="0.3">
      <c r="A43" s="2" t="s">
        <v>3</v>
      </c>
      <c r="B43" s="10">
        <v>2121</v>
      </c>
    </row>
    <row r="44" spans="1:2" ht="15" x14ac:dyDescent="0.3"/>
    <row r="45" spans="1:2" ht="15" x14ac:dyDescent="0.3"/>
    <row r="46" spans="1:2" ht="15" x14ac:dyDescent="0.3"/>
    <row r="47" spans="1:2" ht="15" x14ac:dyDescent="0.3"/>
    <row r="48" spans="1:2" ht="15" x14ac:dyDescent="0.3"/>
    <row r="50" spans="1:2" x14ac:dyDescent="0.3">
      <c r="A50" s="2" t="s">
        <v>44</v>
      </c>
      <c r="B50" s="2" t="s">
        <v>43</v>
      </c>
    </row>
    <row r="51" spans="1:2" x14ac:dyDescent="0.3">
      <c r="A51" s="11" t="s">
        <v>30</v>
      </c>
      <c r="B51" s="9">
        <v>1602.09</v>
      </c>
    </row>
    <row r="52" spans="1:2" x14ac:dyDescent="0.3">
      <c r="A52" s="11" t="s">
        <v>31</v>
      </c>
      <c r="B52" s="9">
        <v>2044.33</v>
      </c>
    </row>
    <row r="53" spans="1:2" x14ac:dyDescent="0.3">
      <c r="A53" s="11" t="s">
        <v>32</v>
      </c>
      <c r="B53" s="9">
        <v>556.87</v>
      </c>
    </row>
    <row r="54" spans="1:2" x14ac:dyDescent="0.3">
      <c r="A54" s="11" t="s">
        <v>33</v>
      </c>
      <c r="B54" s="9">
        <v>1059.03</v>
      </c>
    </row>
    <row r="55" spans="1:2" x14ac:dyDescent="0.3">
      <c r="A55" s="11" t="s">
        <v>34</v>
      </c>
      <c r="B55" s="9">
        <v>1300.3499999999999</v>
      </c>
    </row>
    <row r="56" spans="1:2" x14ac:dyDescent="0.3">
      <c r="A56" s="11" t="s">
        <v>35</v>
      </c>
      <c r="B56" s="9">
        <v>1613.5</v>
      </c>
    </row>
    <row r="57" spans="1:2" x14ac:dyDescent="0.3">
      <c r="A57" s="11" t="s">
        <v>36</v>
      </c>
      <c r="B57" s="9">
        <v>2673.2299999999996</v>
      </c>
    </row>
    <row r="58" spans="1:2" x14ac:dyDescent="0.3">
      <c r="A58" s="11" t="s">
        <v>37</v>
      </c>
      <c r="B58" s="9">
        <v>2005.55</v>
      </c>
    </row>
    <row r="59" spans="1:2" x14ac:dyDescent="0.3">
      <c r="A59" s="11" t="s">
        <v>38</v>
      </c>
      <c r="B59" s="9">
        <v>666.11</v>
      </c>
    </row>
    <row r="60" spans="1:2" x14ac:dyDescent="0.3">
      <c r="A60" s="11" t="s">
        <v>39</v>
      </c>
      <c r="B60" s="9">
        <v>1984.5699999999997</v>
      </c>
    </row>
    <row r="61" spans="1:2" x14ac:dyDescent="0.3">
      <c r="A61" s="11" t="s">
        <v>40</v>
      </c>
      <c r="B61" s="9">
        <v>833.78</v>
      </c>
    </row>
    <row r="62" spans="1:2" x14ac:dyDescent="0.3">
      <c r="A62" s="11" t="s">
        <v>41</v>
      </c>
      <c r="B62" s="9">
        <v>3288.47</v>
      </c>
    </row>
    <row r="63" spans="1:2" x14ac:dyDescent="0.3">
      <c r="A63" s="2" t="s">
        <v>3</v>
      </c>
      <c r="B63" s="10">
        <v>19627.880000000008</v>
      </c>
    </row>
    <row r="69" spans="1:3" x14ac:dyDescent="0.3">
      <c r="A69" s="2" t="s">
        <v>46</v>
      </c>
      <c r="B69" s="2" t="s">
        <v>45</v>
      </c>
      <c r="C69" s="2" t="s">
        <v>42</v>
      </c>
    </row>
    <row r="70" spans="1:3" x14ac:dyDescent="0.3">
      <c r="A70" s="11" t="s">
        <v>23</v>
      </c>
      <c r="B70" s="9">
        <v>11.524000000000001</v>
      </c>
      <c r="C70" s="9">
        <v>9577.65</v>
      </c>
    </row>
    <row r="71" spans="1:3" x14ac:dyDescent="0.3">
      <c r="A71" s="11" t="s">
        <v>24</v>
      </c>
      <c r="B71" s="9">
        <v>175</v>
      </c>
      <c r="C71" s="9">
        <v>1700</v>
      </c>
    </row>
    <row r="72" spans="1:3" x14ac:dyDescent="0.3">
      <c r="A72" s="11" t="s">
        <v>25</v>
      </c>
      <c r="B72" s="9">
        <v>11.190000000000001</v>
      </c>
      <c r="C72" s="9">
        <v>2045.2199999999998</v>
      </c>
    </row>
    <row r="73" spans="1:3" x14ac:dyDescent="0.3">
      <c r="A73" s="11" t="s">
        <v>26</v>
      </c>
      <c r="B73" s="9">
        <v>11.912857142857144</v>
      </c>
      <c r="C73" s="9">
        <v>4169.87</v>
      </c>
    </row>
    <row r="74" spans="1:3" x14ac:dyDescent="0.3">
      <c r="A74" s="11" t="s">
        <v>27</v>
      </c>
      <c r="B74" s="9">
        <v>2.7746153846153847</v>
      </c>
      <c r="C74" s="9">
        <v>2135.1400000000003</v>
      </c>
    </row>
    <row r="75" spans="1:3" x14ac:dyDescent="0.3">
      <c r="A75" s="2" t="s">
        <v>3</v>
      </c>
      <c r="B75" s="10">
        <v>20.308604651162792</v>
      </c>
      <c r="C75" s="10">
        <v>19627.880000000008</v>
      </c>
    </row>
    <row r="79" spans="1:3" x14ac:dyDescent="0.3">
      <c r="A79" t="s">
        <v>44</v>
      </c>
      <c r="B79" t="s">
        <v>45</v>
      </c>
      <c r="C79" t="s">
        <v>42</v>
      </c>
    </row>
    <row r="80" spans="1:3" x14ac:dyDescent="0.3">
      <c r="A80" t="s">
        <v>23</v>
      </c>
      <c r="B80">
        <v>11.524000000000001</v>
      </c>
      <c r="C80">
        <v>9577.65</v>
      </c>
    </row>
    <row r="81" spans="1:4" x14ac:dyDescent="0.3">
      <c r="A81" t="s">
        <v>24</v>
      </c>
      <c r="B81">
        <v>175</v>
      </c>
      <c r="C81">
        <v>1700</v>
      </c>
    </row>
    <row r="82" spans="1:4" x14ac:dyDescent="0.3">
      <c r="A82" t="s">
        <v>25</v>
      </c>
      <c r="B82">
        <v>11.190000000000001</v>
      </c>
      <c r="C82">
        <v>2045.2199999999998</v>
      </c>
    </row>
    <row r="83" spans="1:4" x14ac:dyDescent="0.3">
      <c r="A83" t="s">
        <v>26</v>
      </c>
      <c r="B83">
        <v>11.912857142857144</v>
      </c>
      <c r="C83">
        <v>4169.87</v>
      </c>
    </row>
    <row r="84" spans="1:4" x14ac:dyDescent="0.3">
      <c r="A84" t="s">
        <v>27</v>
      </c>
      <c r="B84">
        <v>2.7746153846153847</v>
      </c>
      <c r="C84">
        <v>2135.1400000000003</v>
      </c>
    </row>
    <row r="85" spans="1:4" x14ac:dyDescent="0.3">
      <c r="D85">
        <f>CORREL(B70:B74,C70:C74)</f>
        <v>-0.35426680827951035</v>
      </c>
    </row>
  </sheetData>
  <mergeCells count="2">
    <mergeCell ref="A1:G2"/>
    <mergeCell ref="K1:Q2"/>
  </mergeCell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BD0D-F09E-4E38-BD3E-8DA6938B5F23}">
  <dimension ref="A1:A4"/>
  <sheetViews>
    <sheetView showGridLines="0" tabSelected="1" zoomScaleNormal="100" workbookViewId="0">
      <selection activeCell="P19" sqref="P19"/>
      <extLst>
        <ext xmlns:xlsdti="http://schemas.microsoft.com/office/spreadsheetml/2023/showDataTypeIcons" uri="{77bfe23e-c014-4d31-8a63-9c772dbf06b6}">
          <xlsdti:showDataTypeIcons visible="0"/>
        </ext>
      </extLst>
    </sheetView>
  </sheetViews>
  <sheetFormatPr defaultRowHeight="14.4" x14ac:dyDescent="0.3"/>
  <cols>
    <col min="1" max="1" width="8.88671875" style="16"/>
    <col min="2" max="16384" width="8.88671875" style="7"/>
  </cols>
  <sheetData>
    <row r="1" s="16" customFormat="1" x14ac:dyDescent="0.3"/>
    <row r="2" s="16" customFormat="1" x14ac:dyDescent="0.3"/>
    <row r="3" s="16" customFormat="1" x14ac:dyDescent="0.3"/>
    <row r="4" s="16"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D83089-4FC2-4C4D-A503-39EE5BB15A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Engine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AlArab</dc:creator>
  <cp:lastModifiedBy>Samir Hendawy</cp:lastModifiedBy>
  <dcterms:created xsi:type="dcterms:W3CDTF">2015-06-05T18:17:20Z</dcterms:created>
  <dcterms:modified xsi:type="dcterms:W3CDTF">2026-04-29T18:06:19Z</dcterms:modified>
</cp:coreProperties>
</file>