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NTI PROJECTS\excel\"/>
    </mc:Choice>
  </mc:AlternateContent>
  <xr:revisionPtr revIDLastSave="0" documentId="13_ncr:1_{70DCFD59-0AE7-4F05-ADD1-BF8E3F78E8E5}" xr6:coauthVersionLast="47" xr6:coauthVersionMax="47" xr10:uidLastSave="{00000000-0000-0000-0000-000000000000}"/>
  <bookViews>
    <workbookView xWindow="-108" yWindow="-108" windowWidth="23256" windowHeight="12456" xr2:uid="{7CD8FE53-22C8-443E-8F34-FDCA6BD69455}"/>
  </bookViews>
  <sheets>
    <sheet name="EX1 " sheetId="18" r:id="rId1"/>
  </sheets>
  <externalReferences>
    <externalReference r:id="rId2"/>
  </externalReferences>
  <definedNames>
    <definedName name="_xlnm._FilterDatabase" localSheetId="0" hidden="1">'EX1 '!$H$1:$H$11</definedName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8" l="1"/>
  <c r="H15" i="18"/>
  <c r="G19" i="18"/>
  <c r="G20" i="18"/>
  <c r="G22" i="18"/>
  <c r="G23" i="18"/>
  <c r="G24" i="18"/>
  <c r="G25" i="18"/>
  <c r="G26" i="18"/>
  <c r="G27" i="18"/>
  <c r="G28" i="18"/>
  <c r="H3" i="18"/>
  <c r="H4" i="18"/>
  <c r="H5" i="18"/>
  <c r="H6" i="18"/>
  <c r="H7" i="18"/>
  <c r="H8" i="18"/>
  <c r="H9" i="18"/>
  <c r="H10" i="18"/>
  <c r="H11" i="18"/>
  <c r="H2" i="18"/>
  <c r="H16" i="18"/>
  <c r="I3" i="18"/>
  <c r="I4" i="18"/>
  <c r="I5" i="18"/>
  <c r="I6" i="18"/>
  <c r="I7" i="18"/>
  <c r="I8" i="18"/>
  <c r="I9" i="18"/>
  <c r="I10" i="18"/>
  <c r="I11" i="18"/>
  <c r="I2" i="18"/>
  <c r="D23" i="18"/>
  <c r="D22" i="18"/>
  <c r="D21" i="18"/>
  <c r="D20" i="18"/>
  <c r="D19" i="18"/>
  <c r="D18" i="18"/>
  <c r="D17" i="18"/>
  <c r="D16" i="18"/>
  <c r="D15" i="18"/>
  <c r="M3" i="18"/>
  <c r="M4" i="18"/>
  <c r="M5" i="18"/>
  <c r="M6" i="18"/>
  <c r="M7" i="18"/>
  <c r="M8" i="18"/>
  <c r="M9" i="18"/>
  <c r="M10" i="18"/>
  <c r="M11" i="18"/>
  <c r="M2" i="18"/>
  <c r="L3" i="18"/>
  <c r="L4" i="18"/>
  <c r="L5" i="18"/>
  <c r="L6" i="18"/>
  <c r="L7" i="18"/>
  <c r="L8" i="18"/>
  <c r="L9" i="18"/>
  <c r="L10" i="18"/>
  <c r="L11" i="18"/>
  <c r="L2" i="18"/>
  <c r="K3" i="18"/>
  <c r="K4" i="18"/>
  <c r="K5" i="18"/>
  <c r="K6" i="18"/>
  <c r="K7" i="18"/>
  <c r="K8" i="18"/>
  <c r="K9" i="18"/>
  <c r="K10" i="18"/>
  <c r="K11" i="18"/>
  <c r="K2" i="18"/>
  <c r="J3" i="18"/>
  <c r="J4" i="18"/>
  <c r="J5" i="18"/>
  <c r="J6" i="18"/>
  <c r="J7" i="18"/>
  <c r="J8" i="18"/>
  <c r="J9" i="18"/>
  <c r="J10" i="18"/>
  <c r="J11" i="18"/>
  <c r="J2" i="18"/>
  <c r="G3" i="18"/>
  <c r="G4" i="18"/>
  <c r="G5" i="18"/>
  <c r="G6" i="18"/>
  <c r="G7" i="18"/>
  <c r="G8" i="18"/>
  <c r="G9" i="18"/>
  <c r="G10" i="18"/>
  <c r="G11" i="18"/>
  <c r="G2" i="18"/>
  <c r="F3" i="18"/>
  <c r="F4" i="18"/>
  <c r="F5" i="18"/>
  <c r="F6" i="18"/>
  <c r="F7" i="18"/>
  <c r="F8" i="18"/>
  <c r="F9" i="18"/>
  <c r="F10" i="18"/>
  <c r="F11" i="18"/>
  <c r="F2" i="18"/>
</calcChain>
</file>

<file path=xl/sharedStrings.xml><?xml version="1.0" encoding="utf-8"?>
<sst xmlns="http://schemas.openxmlformats.org/spreadsheetml/2006/main" count="63" uniqueCount="58">
  <si>
    <t>#</t>
  </si>
  <si>
    <t>F Name</t>
  </si>
  <si>
    <t>L Name</t>
  </si>
  <si>
    <t>Salary in USD</t>
  </si>
  <si>
    <t>Exchange rate</t>
  </si>
  <si>
    <t>Salary in LE</t>
  </si>
  <si>
    <t>Salary Order</t>
  </si>
  <si>
    <t>if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</si>
  <si>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</si>
  <si>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</si>
  <si>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</si>
  <si>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</si>
  <si>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</si>
  <si>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</si>
  <si>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</si>
  <si>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</si>
  <si>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</si>
  <si>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</si>
  <si>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</si>
  <si>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</si>
  <si>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</si>
  <si>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</si>
  <si>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</si>
  <si>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</si>
  <si>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</si>
  <si>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</si>
  <si>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</si>
  <si>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</si>
  <si>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</si>
  <si>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</si>
  <si>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Total  Salaries</t>
  </si>
  <si>
    <t>AVG</t>
  </si>
  <si>
    <t>MAX</t>
  </si>
  <si>
    <t>MIN</t>
  </si>
  <si>
    <t>No of Salaries</t>
  </si>
  <si>
    <t>Total High Salaries</t>
  </si>
  <si>
    <t>No of Names</t>
  </si>
  <si>
    <t>No of High  Salaries</t>
  </si>
  <si>
    <t>No empty Cells</t>
  </si>
  <si>
    <t>Second High Salary</t>
  </si>
  <si>
    <t>Second Low Salary</t>
  </si>
  <si>
    <t>Name</t>
  </si>
  <si>
    <t>ahmed yssin</t>
  </si>
  <si>
    <t>mohamed ismail</t>
  </si>
  <si>
    <t>kamal Hussien</t>
  </si>
  <si>
    <t>ali ismail</t>
  </si>
  <si>
    <t>eyad ahmed</t>
  </si>
  <si>
    <t>Mazen Sameh</t>
  </si>
  <si>
    <t>Nermeen ali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</si>
  <si>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</si>
  <si>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</si>
  <si>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</si>
  <si>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</si>
  <si>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</si>
  <si>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</si>
  <si>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</si>
  <si>
    <r>
      <t xml:space="preserve">Salary Order </t>
    </r>
    <r>
      <rPr>
        <sz val="11"/>
        <color theme="1"/>
        <rFont val="Tw Cen MT"/>
        <family val="2"/>
        <scheme val="minor"/>
      </rPr>
      <t>using (conditional formatting)</t>
    </r>
  </si>
  <si>
    <t>Note 
In if question it based on the salary column, I want you to classify the salary between low, medium or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</si>
</sst>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0"/>
    <numFmt numFmtId="166" formatCode="#,##0\ [$ج.م.‏-C01]"/>
  </numFmts>
  <fonts count="9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1"/>
      <color theme="8" tint="-0.499984740745262"/>
      <name val="Tw Cen MT"/>
      <family val="2"/>
      <scheme val="minor"/>
    </font>
    <font>
      <sz val="10"/>
      <color theme="1"/>
      <name val="Tw Cen MT"/>
      <family val="2"/>
      <scheme val="minor"/>
    </font>
    <font>
      <sz val="11"/>
      <color theme="1"/>
      <name val="خط النص الأساسي"/>
      <family val="2"/>
      <charset val="178"/>
    </font>
    <font>
      <sz val="11"/>
      <name val="خط النص الأساسي"/>
      <family val="2"/>
      <charset val="178"/>
    </font>
    <font>
      <sz val="12"/>
      <color theme="1"/>
      <name val="Tw Cen MT"/>
      <family val="2"/>
      <charset val="178"/>
      <scheme val="minor"/>
    </font>
    <font>
      <b/>
      <sz val="16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indexed="64"/>
      </bottom>
      <diagonal/>
    </border>
    <border>
      <left/>
      <right/>
      <top style="medium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/>
  </cellStyleXfs>
  <cellXfs count="4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0" fontId="1" fillId="0" borderId="1" xfId="1" applyBorder="1"/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 vertical="center"/>
    </xf>
    <xf numFmtId="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0" fontId="2" fillId="0" borderId="5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0" xfId="1" applyFont="1"/>
    <xf numFmtId="0" fontId="2" fillId="0" borderId="10" xfId="1" applyFont="1" applyBorder="1" applyAlignment="1">
      <alignment horizontal="left"/>
    </xf>
    <xf numFmtId="0" fontId="6" fillId="3" borderId="13" xfId="3" applyFont="1" applyFill="1" applyBorder="1" applyAlignment="1">
      <alignment horizontal="center" vertical="center"/>
    </xf>
    <xf numFmtId="0" fontId="5" fillId="0" borderId="0" xfId="3" applyAlignment="1">
      <alignment horizontal="center" vertical="center"/>
    </xf>
    <xf numFmtId="3" fontId="2" fillId="0" borderId="8" xfId="1" applyNumberFormat="1" applyFont="1" applyBorder="1" applyAlignment="1">
      <alignment horizontal="center"/>
    </xf>
    <xf numFmtId="3" fontId="2" fillId="0" borderId="6" xfId="1" applyNumberFormat="1" applyFont="1" applyBorder="1" applyAlignment="1">
      <alignment horizontal="center"/>
    </xf>
    <xf numFmtId="4" fontId="2" fillId="0" borderId="6" xfId="1" applyNumberFormat="1" applyFont="1" applyBorder="1" applyAlignment="1">
      <alignment horizontal="center"/>
    </xf>
    <xf numFmtId="4" fontId="2" fillId="0" borderId="8" xfId="1" applyNumberFormat="1" applyFont="1" applyBorder="1" applyAlignment="1">
      <alignment horizontal="center"/>
    </xf>
    <xf numFmtId="4" fontId="2" fillId="0" borderId="12" xfId="1" applyNumberFormat="1" applyFont="1" applyBorder="1" applyAlignment="1">
      <alignment horizontal="center"/>
    </xf>
    <xf numFmtId="166" fontId="1" fillId="0" borderId="1" xfId="2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/>
    </xf>
    <xf numFmtId="0" fontId="1" fillId="4" borderId="14" xfId="1" applyFill="1" applyBorder="1"/>
    <xf numFmtId="0" fontId="1" fillId="4" borderId="0" xfId="1" applyFill="1"/>
    <xf numFmtId="0" fontId="2" fillId="0" borderId="9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1" fontId="1" fillId="0" borderId="1" xfId="2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wrapText="1"/>
    </xf>
    <xf numFmtId="0" fontId="1" fillId="0" borderId="0" xfId="1" applyAlignment="1">
      <alignment horizont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</cellXfs>
  <cellStyles count="5">
    <cellStyle name="Comma 2" xfId="2" xr:uid="{C1CA0BE0-E014-42AA-9F21-A9AD573C39DC}"/>
    <cellStyle name="Normal" xfId="0" builtinId="0"/>
    <cellStyle name="Normal 2" xfId="1" xr:uid="{23BF9983-9694-4A20-BAD6-FDF80AA21FCB}"/>
    <cellStyle name="Normal 3" xfId="4" xr:uid="{B56B8742-FC5D-4086-9112-AFC078492952}"/>
    <cellStyle name="عادي 2" xfId="3" xr:uid="{EBB29002-DDAC-4FCF-A6E5-AEDB88080ACA}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خط النص الأساسي"/>
        <family val="2"/>
        <charset val="178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388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Ismail\Desktop\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6B9F5-9B8C-414E-B61D-A3101739D69B}" name="Table142" displayName="Table142" ref="K16:L30" totalsRowShown="0" headerRowDxfId="5" dataDxfId="3" headerRowBorderDxfId="4" tableBorderDxfId="2" headerRowCellStyle="عادي 2" dataCellStyle="عادي 2">
  <tableColumns count="2">
    <tableColumn id="1" xr3:uid="{ADC95B77-37EE-4CFE-B7A6-18D4D6E9F1FE}" name="Emp_ID" dataDxfId="1" dataCellStyle="عادي 2"/>
    <tableColumn id="2" xr3:uid="{655CDC74-D85A-4AA7-9A80-DF8C42DD3253}" name="Name" dataDxfId="0" dataCellStyle="عادي 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9B66-E5CE-46C9-A1B1-DFDFAFC0557D}">
  <dimension ref="A1:O37"/>
  <sheetViews>
    <sheetView tabSelected="1" zoomScaleNormal="100" workbookViewId="0">
      <selection activeCell="M17" sqref="M17"/>
    </sheetView>
  </sheetViews>
  <sheetFormatPr defaultColWidth="8.09765625" defaultRowHeight="13.8"/>
  <cols>
    <col min="1" max="1" width="2.8984375" style="4" bestFit="1" customWidth="1"/>
    <col min="2" max="2" width="8.59765625" style="19" bestFit="1" customWidth="1"/>
    <col min="3" max="3" width="16.09765625" style="19" bestFit="1" customWidth="1"/>
    <col min="4" max="4" width="11.59765625" style="13" bestFit="1" customWidth="1"/>
    <col min="5" max="5" width="12" style="13" bestFit="1" customWidth="1"/>
    <col min="6" max="6" width="10.19921875" style="18" bestFit="1" customWidth="1"/>
    <col min="7" max="7" width="10.8984375" style="18" bestFit="1" customWidth="1"/>
    <col min="8" max="8" width="39.8984375" style="13" customWidth="1"/>
    <col min="9" max="9" width="12.09765625" style="13" customWidth="1"/>
    <col min="10" max="10" width="13.59765625" style="4" bestFit="1" customWidth="1"/>
    <col min="11" max="11" width="11.5" style="13" bestFit="1" customWidth="1"/>
    <col min="12" max="12" width="14.59765625" style="13" bestFit="1" customWidth="1"/>
    <col min="13" max="13" width="9.296875" style="13" bestFit="1" customWidth="1"/>
    <col min="14" max="14" width="9.8984375" style="13" customWidth="1"/>
    <col min="15" max="15" width="7.59765625" style="4" bestFit="1" customWidth="1"/>
    <col min="16" max="16" width="15.796875" style="4" customWidth="1"/>
    <col min="17" max="16384" width="8.09765625" style="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56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/>
    </row>
    <row r="2" spans="1:15">
      <c r="A2" s="5">
        <v>1</v>
      </c>
      <c r="B2" s="6" t="s">
        <v>14</v>
      </c>
      <c r="C2" s="6" t="s">
        <v>15</v>
      </c>
      <c r="D2" s="7">
        <v>671.49631999999997</v>
      </c>
      <c r="E2" s="38">
        <v>30.89</v>
      </c>
      <c r="F2" s="31">
        <f>D2*$E$2</f>
        <v>20742.5213248</v>
      </c>
      <c r="G2" s="37">
        <f>RANK(D2,$D$2:$D$11,0)</f>
        <v>7</v>
      </c>
      <c r="H2" s="32">
        <f>G2</f>
        <v>7</v>
      </c>
      <c r="I2" s="5" t="str">
        <f>IF(F2&gt;25000, "High", IF(F2&gt;20000, "Medium", "Low"))</f>
        <v>Medium</v>
      </c>
      <c r="J2" s="8" t="str">
        <f>_xlfn.CONCAT(B2," ",C2)</f>
        <v>Ahmed Yassin</v>
      </c>
      <c r="K2" s="5">
        <f>LEN(J2)</f>
        <v>12</v>
      </c>
      <c r="L2" s="9" t="str">
        <f>LEFT(J2,1)</f>
        <v>A</v>
      </c>
      <c r="M2" s="10" t="str">
        <f>RIGHT(J2,1)</f>
        <v>n</v>
      </c>
      <c r="N2" s="11"/>
    </row>
    <row r="3" spans="1:15">
      <c r="A3" s="5">
        <v>2</v>
      </c>
      <c r="B3" s="6" t="s">
        <v>16</v>
      </c>
      <c r="C3" s="6" t="s">
        <v>17</v>
      </c>
      <c r="D3" s="7">
        <v>830</v>
      </c>
      <c r="E3" s="39"/>
      <c r="F3" s="31">
        <f t="shared" ref="F3:F11" si="0">D3*$E$2</f>
        <v>25638.7</v>
      </c>
      <c r="G3" s="37">
        <f t="shared" ref="G3:G11" si="1">RANK(D3,$D$2:$D$11,0)</f>
        <v>5</v>
      </c>
      <c r="H3" s="32">
        <f t="shared" ref="H3:H11" si="2">G3</f>
        <v>5</v>
      </c>
      <c r="I3" s="5" t="str">
        <f t="shared" ref="I3:I11" si="3">IF(F3&gt;25000, "High", IF(F3&gt;20000, "Medium", "Low"))</f>
        <v>High</v>
      </c>
      <c r="J3" s="8" t="str">
        <f t="shared" ref="J3:J11" si="4">_xlfn.CONCAT(B3," ",C3)</f>
        <v>Mohamed ismail</v>
      </c>
      <c r="K3" s="5">
        <f t="shared" ref="K3:K11" si="5">LEN(J3)</f>
        <v>14</v>
      </c>
      <c r="L3" s="9" t="str">
        <f t="shared" ref="L3:L11" si="6">LEFT(J3,1)</f>
        <v>M</v>
      </c>
      <c r="M3" s="10" t="str">
        <f t="shared" ref="M3:M11" si="7">RIGHT(J3,1)</f>
        <v>l</v>
      </c>
      <c r="N3" s="11"/>
    </row>
    <row r="4" spans="1:15">
      <c r="A4" s="5">
        <v>3</v>
      </c>
      <c r="B4" s="6" t="s">
        <v>18</v>
      </c>
      <c r="C4" s="6" t="s">
        <v>19</v>
      </c>
      <c r="D4" s="7">
        <v>886.20654000000002</v>
      </c>
      <c r="E4" s="39"/>
      <c r="F4" s="31">
        <f t="shared" si="0"/>
        <v>27374.920020600002</v>
      </c>
      <c r="G4" s="37">
        <f t="shared" si="1"/>
        <v>4</v>
      </c>
      <c r="H4" s="32">
        <f t="shared" si="2"/>
        <v>4</v>
      </c>
      <c r="I4" s="5" t="str">
        <f t="shared" si="3"/>
        <v>High</v>
      </c>
      <c r="J4" s="8" t="str">
        <f t="shared" si="4"/>
        <v>Kamal Hussien</v>
      </c>
      <c r="K4" s="5">
        <f t="shared" si="5"/>
        <v>13</v>
      </c>
      <c r="L4" s="9" t="str">
        <f t="shared" si="6"/>
        <v>K</v>
      </c>
      <c r="M4" s="10" t="str">
        <f t="shared" si="7"/>
        <v>n</v>
      </c>
      <c r="N4" s="11"/>
    </row>
    <row r="5" spans="1:15">
      <c r="A5" s="5">
        <v>4</v>
      </c>
      <c r="B5" s="6" t="s">
        <v>20</v>
      </c>
      <c r="C5" s="6" t="s">
        <v>21</v>
      </c>
      <c r="D5" s="7">
        <v>950.28737000000001</v>
      </c>
      <c r="E5" s="39"/>
      <c r="F5" s="31">
        <f t="shared" si="0"/>
        <v>29354.376859300002</v>
      </c>
      <c r="G5" s="37">
        <f t="shared" si="1"/>
        <v>2</v>
      </c>
      <c r="H5" s="32">
        <f t="shared" si="2"/>
        <v>2</v>
      </c>
      <c r="I5" s="5" t="str">
        <f t="shared" si="3"/>
        <v>High</v>
      </c>
      <c r="J5" s="8" t="str">
        <f t="shared" si="4"/>
        <v>Ali Ismail</v>
      </c>
      <c r="K5" s="5">
        <f t="shared" si="5"/>
        <v>10</v>
      </c>
      <c r="L5" s="9" t="str">
        <f t="shared" si="6"/>
        <v>A</v>
      </c>
      <c r="M5" s="10" t="str">
        <f t="shared" si="7"/>
        <v>l</v>
      </c>
      <c r="N5" s="11"/>
    </row>
    <row r="6" spans="1:15">
      <c r="A6" s="5">
        <v>5</v>
      </c>
      <c r="B6" s="6" t="s">
        <v>22</v>
      </c>
      <c r="C6" s="6" t="s">
        <v>14</v>
      </c>
      <c r="D6" s="7">
        <v>558.93357000000003</v>
      </c>
      <c r="E6" s="39"/>
      <c r="F6" s="31">
        <f t="shared" si="0"/>
        <v>17265.4579773</v>
      </c>
      <c r="G6" s="37">
        <f t="shared" si="1"/>
        <v>9</v>
      </c>
      <c r="H6" s="32">
        <f t="shared" si="2"/>
        <v>9</v>
      </c>
      <c r="I6" s="5" t="str">
        <f t="shared" si="3"/>
        <v>Low</v>
      </c>
      <c r="J6" s="8" t="str">
        <f t="shared" si="4"/>
        <v>Eyad Ahmed</v>
      </c>
      <c r="K6" s="5">
        <f t="shared" si="5"/>
        <v>10</v>
      </c>
      <c r="L6" s="9" t="str">
        <f t="shared" si="6"/>
        <v>E</v>
      </c>
      <c r="M6" s="10" t="str">
        <f t="shared" si="7"/>
        <v>d</v>
      </c>
      <c r="N6" s="11"/>
    </row>
    <row r="7" spans="1:15">
      <c r="A7" s="5">
        <v>6</v>
      </c>
      <c r="B7" s="6" t="s">
        <v>23</v>
      </c>
      <c r="C7" s="6" t="s">
        <v>24</v>
      </c>
      <c r="D7" s="7">
        <v>500</v>
      </c>
      <c r="E7" s="39"/>
      <c r="F7" s="31">
        <f t="shared" si="0"/>
        <v>15445</v>
      </c>
      <c r="G7" s="37">
        <f t="shared" si="1"/>
        <v>10</v>
      </c>
      <c r="H7" s="32">
        <f t="shared" si="2"/>
        <v>10</v>
      </c>
      <c r="I7" s="5" t="str">
        <f t="shared" si="3"/>
        <v>Low</v>
      </c>
      <c r="J7" s="8" t="str">
        <f t="shared" si="4"/>
        <v>Mazen sameh</v>
      </c>
      <c r="K7" s="5">
        <f t="shared" si="5"/>
        <v>11</v>
      </c>
      <c r="L7" s="9" t="str">
        <f t="shared" si="6"/>
        <v>M</v>
      </c>
      <c r="M7" s="10" t="str">
        <f t="shared" si="7"/>
        <v>h</v>
      </c>
      <c r="N7" s="11"/>
    </row>
    <row r="8" spans="1:15">
      <c r="A8" s="5">
        <v>7</v>
      </c>
      <c r="B8" s="6" t="s">
        <v>25</v>
      </c>
      <c r="C8" s="6" t="s">
        <v>20</v>
      </c>
      <c r="D8" s="7">
        <v>825.70673999999997</v>
      </c>
      <c r="E8" s="39"/>
      <c r="F8" s="31">
        <f t="shared" si="0"/>
        <v>25506.081198600001</v>
      </c>
      <c r="G8" s="37">
        <f t="shared" si="1"/>
        <v>6</v>
      </c>
      <c r="H8" s="32">
        <f t="shared" si="2"/>
        <v>6</v>
      </c>
      <c r="I8" s="5" t="str">
        <f t="shared" si="3"/>
        <v>High</v>
      </c>
      <c r="J8" s="8" t="str">
        <f t="shared" si="4"/>
        <v>Nermeen Ali</v>
      </c>
      <c r="K8" s="5">
        <f t="shared" si="5"/>
        <v>11</v>
      </c>
      <c r="L8" s="9" t="str">
        <f t="shared" si="6"/>
        <v>N</v>
      </c>
      <c r="M8" s="10" t="str">
        <f t="shared" si="7"/>
        <v>i</v>
      </c>
      <c r="N8" s="11"/>
    </row>
    <row r="9" spans="1:15">
      <c r="A9" s="5">
        <v>8</v>
      </c>
      <c r="B9" s="6" t="s">
        <v>26</v>
      </c>
      <c r="C9" s="6" t="s">
        <v>27</v>
      </c>
      <c r="D9" s="7">
        <v>931.85544000000004</v>
      </c>
      <c r="E9" s="39"/>
      <c r="F9" s="31">
        <f t="shared" si="0"/>
        <v>28785.014541600001</v>
      </c>
      <c r="G9" s="37">
        <f t="shared" si="1"/>
        <v>3</v>
      </c>
      <c r="H9" s="32">
        <f t="shared" si="2"/>
        <v>3</v>
      </c>
      <c r="I9" s="5" t="str">
        <f t="shared" si="3"/>
        <v>High</v>
      </c>
      <c r="J9" s="8" t="str">
        <f t="shared" si="4"/>
        <v>Ramy Hassan</v>
      </c>
      <c r="K9" s="5">
        <f t="shared" si="5"/>
        <v>11</v>
      </c>
      <c r="L9" s="9" t="str">
        <f t="shared" si="6"/>
        <v>R</v>
      </c>
      <c r="M9" s="10" t="str">
        <f t="shared" si="7"/>
        <v>n</v>
      </c>
      <c r="N9" s="11"/>
    </row>
    <row r="10" spans="1:15">
      <c r="A10" s="5">
        <v>9</v>
      </c>
      <c r="B10" s="6" t="s">
        <v>27</v>
      </c>
      <c r="C10" s="6" t="s">
        <v>28</v>
      </c>
      <c r="D10" s="7">
        <v>567.52768000000003</v>
      </c>
      <c r="E10" s="39"/>
      <c r="F10" s="31">
        <f t="shared" si="0"/>
        <v>17530.930035200003</v>
      </c>
      <c r="G10" s="37">
        <f t="shared" si="1"/>
        <v>8</v>
      </c>
      <c r="H10" s="32">
        <f t="shared" si="2"/>
        <v>8</v>
      </c>
      <c r="I10" s="5" t="str">
        <f t="shared" si="3"/>
        <v>Low</v>
      </c>
      <c r="J10" s="8" t="str">
        <f t="shared" si="4"/>
        <v>Hassan Sayed</v>
      </c>
      <c r="K10" s="5">
        <f t="shared" si="5"/>
        <v>12</v>
      </c>
      <c r="L10" s="9" t="str">
        <f t="shared" si="6"/>
        <v>H</v>
      </c>
      <c r="M10" s="10" t="str">
        <f t="shared" si="7"/>
        <v>d</v>
      </c>
      <c r="N10" s="11"/>
    </row>
    <row r="11" spans="1:15">
      <c r="A11" s="5">
        <v>10</v>
      </c>
      <c r="B11" s="6" t="s">
        <v>29</v>
      </c>
      <c r="C11" s="6" t="s">
        <v>16</v>
      </c>
      <c r="D11" s="7">
        <v>957.68445999999994</v>
      </c>
      <c r="E11" s="40"/>
      <c r="F11" s="31">
        <f t="shared" si="0"/>
        <v>29582.872969399999</v>
      </c>
      <c r="G11" s="37">
        <f t="shared" si="1"/>
        <v>1</v>
      </c>
      <c r="H11" s="32">
        <f t="shared" si="2"/>
        <v>1</v>
      </c>
      <c r="I11" s="5" t="str">
        <f t="shared" si="3"/>
        <v>High</v>
      </c>
      <c r="J11" s="8" t="str">
        <f t="shared" si="4"/>
        <v>Yamen Mohamed</v>
      </c>
      <c r="K11" s="5">
        <f t="shared" si="5"/>
        <v>13</v>
      </c>
      <c r="L11" s="9" t="str">
        <f t="shared" si="6"/>
        <v>Y</v>
      </c>
      <c r="M11" s="10" t="str">
        <f t="shared" si="7"/>
        <v>d</v>
      </c>
      <c r="N11" s="11"/>
    </row>
    <row r="12" spans="1:1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11"/>
    </row>
    <row r="13" spans="1:1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11"/>
    </row>
    <row r="14" spans="1:15">
      <c r="A14" s="13"/>
      <c r="B14" s="14"/>
      <c r="C14" s="14"/>
      <c r="D14" s="15"/>
      <c r="E14" s="16"/>
      <c r="F14" s="17"/>
      <c r="G14" s="17"/>
      <c r="L14" s="18"/>
      <c r="M14" s="11"/>
      <c r="N14" s="11"/>
      <c r="O14" s="19"/>
    </row>
    <row r="15" spans="1:15" ht="14.4" thickBot="1">
      <c r="C15" s="20" t="s">
        <v>30</v>
      </c>
      <c r="D15" s="27">
        <f>SUM(F2:F11)</f>
        <v>237225.87492680002</v>
      </c>
      <c r="F15" s="20" t="s">
        <v>35</v>
      </c>
      <c r="G15" s="35"/>
      <c r="H15" s="28">
        <f>SUMIF(I2:I11,"High",D2:D11)</f>
        <v>5381.7405500000004</v>
      </c>
    </row>
    <row r="16" spans="1:15" ht="14.4" thickBot="1">
      <c r="C16" s="21" t="s">
        <v>31</v>
      </c>
      <c r="D16" s="26">
        <f>AVERAGE(F2:F11)</f>
        <v>23722.587492680002</v>
      </c>
      <c r="F16" s="23" t="s">
        <v>37</v>
      </c>
      <c r="G16" s="36"/>
      <c r="H16" s="27">
        <f>COUNTIF(I2:I11,"High")</f>
        <v>6</v>
      </c>
      <c r="K16" s="24" t="s">
        <v>12</v>
      </c>
      <c r="L16" s="24" t="s">
        <v>41</v>
      </c>
    </row>
    <row r="17" spans="2:13" ht="14.4" thickBot="1">
      <c r="C17" s="21" t="s">
        <v>32</v>
      </c>
      <c r="D17" s="29">
        <f>MAX(F2:F11)</f>
        <v>29582.872969399999</v>
      </c>
      <c r="K17" s="25">
        <v>1001</v>
      </c>
      <c r="L17" s="25" t="s">
        <v>42</v>
      </c>
      <c r="M17" s="22"/>
    </row>
    <row r="18" spans="2:13" ht="14.4" thickBot="1">
      <c r="C18" s="21" t="s">
        <v>33</v>
      </c>
      <c r="D18" s="29">
        <f>MIN(F2:F11)</f>
        <v>15445</v>
      </c>
      <c r="F18" s="1" t="s">
        <v>12</v>
      </c>
      <c r="G18" s="43" t="s">
        <v>13</v>
      </c>
      <c r="H18" s="44"/>
      <c r="K18" s="25">
        <v>1002</v>
      </c>
      <c r="L18" s="25" t="s">
        <v>43</v>
      </c>
      <c r="M18" s="22"/>
    </row>
    <row r="19" spans="2:13" ht="14.4" thickBot="1">
      <c r="B19" s="3"/>
      <c r="C19" s="21" t="s">
        <v>34</v>
      </c>
      <c r="D19" s="26">
        <f>COUNTA(D2:D11)</f>
        <v>10</v>
      </c>
      <c r="F19" s="12">
        <v>1006</v>
      </c>
      <c r="G19" s="45" t="str">
        <f>VLOOKUP(F19,Table142[],2,0)</f>
        <v>Mazen Sameh</v>
      </c>
      <c r="H19" s="46"/>
      <c r="K19" s="25">
        <v>1003</v>
      </c>
      <c r="L19" s="25" t="s">
        <v>44</v>
      </c>
    </row>
    <row r="20" spans="2:13" ht="14.4" thickBot="1">
      <c r="C20" s="21" t="s">
        <v>36</v>
      </c>
      <c r="D20" s="26">
        <f>COUNTA(C2:C11)</f>
        <v>10</v>
      </c>
      <c r="F20" s="12">
        <v>1008</v>
      </c>
      <c r="G20" s="45" t="str">
        <f>VLOOKUP(F20,Table142[],2,0)</f>
        <v>eamy hassan</v>
      </c>
      <c r="H20" s="46"/>
      <c r="K20" s="25">
        <v>1004</v>
      </c>
      <c r="L20" s="25" t="s">
        <v>45</v>
      </c>
    </row>
    <row r="21" spans="2:13" ht="14.4" thickBot="1">
      <c r="C21" s="21" t="s">
        <v>38</v>
      </c>
      <c r="D21" s="26">
        <f>COUNTBLANK(F2:F11)</f>
        <v>0</v>
      </c>
      <c r="F21" s="12">
        <v>1013</v>
      </c>
      <c r="G21" s="45" t="str">
        <f>VLOOKUP(F21,Table142[],2,0)</f>
        <v>maha ahmed</v>
      </c>
      <c r="H21" s="46"/>
      <c r="K21" s="25">
        <v>1005</v>
      </c>
      <c r="L21" s="25" t="s">
        <v>46</v>
      </c>
    </row>
    <row r="22" spans="2:13" ht="14.4" thickBot="1">
      <c r="C22" s="21" t="s">
        <v>39</v>
      </c>
      <c r="D22" s="29">
        <f>LARGE(D2:D11,2)</f>
        <v>950.28737000000001</v>
      </c>
      <c r="F22" s="12">
        <v>1002</v>
      </c>
      <c r="G22" s="45" t="str">
        <f>VLOOKUP(F22,Table142[],2,0)</f>
        <v>mohamed ismail</v>
      </c>
      <c r="H22" s="46"/>
      <c r="K22" s="25">
        <v>1006</v>
      </c>
      <c r="L22" s="25" t="s">
        <v>47</v>
      </c>
    </row>
    <row r="23" spans="2:13">
      <c r="C23" s="23" t="s">
        <v>40</v>
      </c>
      <c r="D23" s="30">
        <f>SMALL(D2:D11,2)</f>
        <v>558.93357000000003</v>
      </c>
      <c r="F23" s="12">
        <v>1011</v>
      </c>
      <c r="G23" s="45" t="str">
        <f>VLOOKUP(F23,Table142[],2,0)</f>
        <v>ahmed fawzy</v>
      </c>
      <c r="H23" s="46"/>
      <c r="K23" s="25">
        <v>1007</v>
      </c>
      <c r="L23" s="25" t="s">
        <v>48</v>
      </c>
    </row>
    <row r="24" spans="2:13">
      <c r="F24" s="12">
        <v>1003</v>
      </c>
      <c r="G24" s="45" t="str">
        <f>VLOOKUP(F24,Table142[],2,0)</f>
        <v>kamal Hussien</v>
      </c>
      <c r="H24" s="46"/>
      <c r="K24" s="25">
        <v>1008</v>
      </c>
      <c r="L24" s="25" t="s">
        <v>49</v>
      </c>
    </row>
    <row r="25" spans="2:13">
      <c r="F25" s="12">
        <v>1005</v>
      </c>
      <c r="G25" s="45" t="str">
        <f>VLOOKUP(F25,Table142[],2,0)</f>
        <v>eyad ahmed</v>
      </c>
      <c r="H25" s="46"/>
      <c r="K25" s="25">
        <v>1009</v>
      </c>
      <c r="L25" s="25" t="s">
        <v>50</v>
      </c>
    </row>
    <row r="26" spans="2:13">
      <c r="F26" s="12">
        <v>1010</v>
      </c>
      <c r="G26" s="45" t="str">
        <f>VLOOKUP(F26,Table142[],2,0)</f>
        <v>yamen mohamed</v>
      </c>
      <c r="H26" s="46"/>
      <c r="K26" s="25">
        <v>1010</v>
      </c>
      <c r="L26" s="25" t="s">
        <v>51</v>
      </c>
    </row>
    <row r="27" spans="2:13">
      <c r="F27" s="12">
        <v>1006</v>
      </c>
      <c r="G27" s="45" t="str">
        <f>VLOOKUP(F27,Table142[],2,0)</f>
        <v>Mazen Sameh</v>
      </c>
      <c r="H27" s="46"/>
      <c r="K27" s="25">
        <v>1011</v>
      </c>
      <c r="L27" s="25" t="s">
        <v>52</v>
      </c>
    </row>
    <row r="28" spans="2:13">
      <c r="F28" s="12">
        <v>1004</v>
      </c>
      <c r="G28" s="45" t="str">
        <f>VLOOKUP(F28,Table142[],2,0)</f>
        <v>ali ismail</v>
      </c>
      <c r="H28" s="46"/>
      <c r="K28" s="25">
        <v>1012</v>
      </c>
      <c r="L28" s="25" t="s">
        <v>53</v>
      </c>
    </row>
    <row r="29" spans="2:13">
      <c r="K29" s="25">
        <v>1013</v>
      </c>
      <c r="L29" s="25" t="s">
        <v>54</v>
      </c>
    </row>
    <row r="30" spans="2:13">
      <c r="K30" s="25">
        <v>1014</v>
      </c>
      <c r="L30" s="25" t="s">
        <v>55</v>
      </c>
    </row>
    <row r="35" spans="1:13">
      <c r="A35" s="41" t="s">
        <v>57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</sheetData>
  <sortState xmlns:xlrd2="http://schemas.microsoft.com/office/spreadsheetml/2017/richdata2" ref="A2:M11">
    <sortCondition ref="A1:A11"/>
  </sortState>
  <mergeCells count="13">
    <mergeCell ref="E2:E11"/>
    <mergeCell ref="A35:M3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</mergeCells>
  <conditionalFormatting sqref="F2:F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{1BB00A92-ACAC-4C6E-88AD-009ABECF913A}</x14:id>
        </ext>
      </extLst>
    </cfRule>
  </conditionalFormatting>
  <conditionalFormatting sqref="H2:H11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B00A92-ACAC-4C6E-88AD-009ABECF9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Samir Hendawy</cp:lastModifiedBy>
  <cp:lastPrinted>2023-08-22T18:51:38Z</cp:lastPrinted>
  <dcterms:created xsi:type="dcterms:W3CDTF">2023-08-22T18:03:07Z</dcterms:created>
  <dcterms:modified xsi:type="dcterms:W3CDTF">2026-04-29T16:24:08Z</dcterms:modified>
</cp:coreProperties>
</file>